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lerts Data" sheetId="2" state="visible" r:id="rId4"/>
    <sheet name="Summary Data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<sst xmlns="http://schemas.openxmlformats.org/spreadsheetml/2006/main" count="3176" uniqueCount="890">
  <si>
    <t xml:space="preserve">AML TRANSACTION MONITORING DASHBOARD</t>
  </si>
  <si>
    <t xml:space="preserve">KEY METRICS</t>
  </si>
  <si>
    <t xml:space="preserve">Total Alerts</t>
  </si>
  <si>
    <t xml:space="preserve">High Risk Alerts</t>
  </si>
  <si>
    <t xml:space="preserve">High-Risk Countries</t>
  </si>
  <si>
    <t xml:space="preserve">Large Transactions</t>
  </si>
  <si>
    <t xml:space="preserve">ALERTS BY RULE</t>
  </si>
  <si>
    <t xml:space="preserve">Alert Rule</t>
  </si>
  <si>
    <t xml:space="preserve">Count</t>
  </si>
  <si>
    <t xml:space="preserve">Percentage</t>
  </si>
  <si>
    <t xml:space="preserve">High-Risk Country</t>
  </si>
  <si>
    <t xml:space="preserve">Large Deposit &gt;10K</t>
  </si>
  <si>
    <t xml:space="preserve">Large Transfer &gt;5K</t>
  </si>
  <si>
    <t xml:space="preserve">Very Large Amount &gt;40K</t>
  </si>
  <si>
    <t xml:space="preserve">TOP 10 RISKY CUSTOMERS</t>
  </si>
  <si>
    <t xml:space="preserve">Customer ID</t>
  </si>
  <si>
    <t xml:space="preserve">High Risk</t>
  </si>
  <si>
    <t xml:space="preserve">Amount ($)</t>
  </si>
  <si>
    <t xml:space="preserve">Alert_ID</t>
  </si>
  <si>
    <t xml:space="preserve">Txn_ID</t>
  </si>
  <si>
    <t xml:space="preserve">Customer_ID</t>
  </si>
  <si>
    <t xml:space="preserve">Txn_Date</t>
  </si>
  <si>
    <t xml:space="preserve">Amount</t>
  </si>
  <si>
    <t xml:space="preserve">Txn_Type</t>
  </si>
  <si>
    <t xml:space="preserve">Country</t>
  </si>
  <si>
    <t xml:space="preserve">Channel</t>
  </si>
  <si>
    <t xml:space="preserve">Alert_Rule</t>
  </si>
  <si>
    <t xml:space="preserve">Risk_Level</t>
  </si>
  <si>
    <t xml:space="preserve">TXN000001</t>
  </si>
  <si>
    <t xml:space="preserve">CUST82605</t>
  </si>
  <si>
    <t xml:space="preserve">2024-09-11</t>
  </si>
  <si>
    <t xml:space="preserve">Transfer</t>
  </si>
  <si>
    <t xml:space="preserve">Afghanistan</t>
  </si>
  <si>
    <t xml:space="preserve">POS</t>
  </si>
  <si>
    <t xml:space="preserve">High</t>
  </si>
  <si>
    <t xml:space="preserve">Medium</t>
  </si>
  <si>
    <t xml:space="preserve">TXN000002</t>
  </si>
  <si>
    <t xml:space="preserve">CUST82146</t>
  </si>
  <si>
    <t xml:space="preserve">2025-01-10</t>
  </si>
  <si>
    <t xml:space="preserve">Deposit</t>
  </si>
  <si>
    <t xml:space="preserve">Mexico</t>
  </si>
  <si>
    <t xml:space="preserve">Phone Banking</t>
  </si>
  <si>
    <t xml:space="preserve">TXN000003</t>
  </si>
  <si>
    <t xml:space="preserve">CUST36086</t>
  </si>
  <si>
    <t xml:space="preserve">2024-09-08</t>
  </si>
  <si>
    <t xml:space="preserve">Italy</t>
  </si>
  <si>
    <t xml:space="preserve">TXN000004</t>
  </si>
  <si>
    <t xml:space="preserve">CUST73835</t>
  </si>
  <si>
    <t xml:space="preserve">2024-03-25</t>
  </si>
  <si>
    <t xml:space="preserve">Payment</t>
  </si>
  <si>
    <t xml:space="preserve">Iran</t>
  </si>
  <si>
    <t xml:space="preserve">ATM</t>
  </si>
  <si>
    <t xml:space="preserve">TXN000005</t>
  </si>
  <si>
    <t xml:space="preserve">CUST52812</t>
  </si>
  <si>
    <t xml:space="preserve">2024-12-09</t>
  </si>
  <si>
    <t xml:space="preserve">Purchase</t>
  </si>
  <si>
    <t xml:space="preserve">North Korea</t>
  </si>
  <si>
    <t xml:space="preserve">Mobile App</t>
  </si>
  <si>
    <t xml:space="preserve">TXN000008</t>
  </si>
  <si>
    <t xml:space="preserve">CUST43048</t>
  </si>
  <si>
    <t xml:space="preserve">2024-11-16</t>
  </si>
  <si>
    <t xml:space="preserve">Online</t>
  </si>
  <si>
    <t xml:space="preserve">TXN000009</t>
  </si>
  <si>
    <t xml:space="preserve">CUST32657</t>
  </si>
  <si>
    <t xml:space="preserve">2024-12-19</t>
  </si>
  <si>
    <t xml:space="preserve">Branch</t>
  </si>
  <si>
    <t xml:space="preserve">TXN000011</t>
  </si>
  <si>
    <t xml:space="preserve">CUST53367</t>
  </si>
  <si>
    <t xml:space="preserve">2024-10-24</t>
  </si>
  <si>
    <t xml:space="preserve">TXN000013</t>
  </si>
  <si>
    <t xml:space="preserve">CUST33655</t>
  </si>
  <si>
    <t xml:space="preserve">2024-06-15</t>
  </si>
  <si>
    <t xml:space="preserve">India</t>
  </si>
  <si>
    <t xml:space="preserve">TXN000017</t>
  </si>
  <si>
    <t xml:space="preserve">CUST62736</t>
  </si>
  <si>
    <t xml:space="preserve">2024-05-28</t>
  </si>
  <si>
    <t xml:space="preserve">TXN000019</t>
  </si>
  <si>
    <t xml:space="preserve">CUST48094</t>
  </si>
  <si>
    <t xml:space="preserve">2024-12-10</t>
  </si>
  <si>
    <t xml:space="preserve">Refund</t>
  </si>
  <si>
    <t xml:space="preserve">Brazil</t>
  </si>
  <si>
    <t xml:space="preserve">TXN000021</t>
  </si>
  <si>
    <t xml:space="preserve">CUST69131</t>
  </si>
  <si>
    <t xml:space="preserve">2024-08-09</t>
  </si>
  <si>
    <t xml:space="preserve">Syria</t>
  </si>
  <si>
    <t xml:space="preserve">TXN000022</t>
  </si>
  <si>
    <t xml:space="preserve">CUST82073</t>
  </si>
  <si>
    <t xml:space="preserve">2024-04-09</t>
  </si>
  <si>
    <t xml:space="preserve">TXN000023</t>
  </si>
  <si>
    <t xml:space="preserve">CUST60024</t>
  </si>
  <si>
    <t xml:space="preserve">2024-07-07</t>
  </si>
  <si>
    <t xml:space="preserve">Withdrawal</t>
  </si>
  <si>
    <t xml:space="preserve">TXN000024</t>
  </si>
  <si>
    <t xml:space="preserve">CUST27990</t>
  </si>
  <si>
    <t xml:space="preserve">2025-01-19</t>
  </si>
  <si>
    <t xml:space="preserve">Canada</t>
  </si>
  <si>
    <t xml:space="preserve">TXN000025</t>
  </si>
  <si>
    <t xml:space="preserve">CUST63758</t>
  </si>
  <si>
    <t xml:space="preserve">2024-06-30</t>
  </si>
  <si>
    <t xml:space="preserve">TXN000026</t>
  </si>
  <si>
    <t xml:space="preserve">CUST10243</t>
  </si>
  <si>
    <t xml:space="preserve">2024-03-10</t>
  </si>
  <si>
    <t xml:space="preserve">TXN000027</t>
  </si>
  <si>
    <t xml:space="preserve">CUST83195</t>
  </si>
  <si>
    <t xml:space="preserve">2024-06-08</t>
  </si>
  <si>
    <t xml:space="preserve">TXN000029</t>
  </si>
  <si>
    <t xml:space="preserve">CUST46321</t>
  </si>
  <si>
    <t xml:space="preserve">2024-02-02</t>
  </si>
  <si>
    <t xml:space="preserve">TXN000030</t>
  </si>
  <si>
    <t xml:space="preserve">CUST29746</t>
  </si>
  <si>
    <t xml:space="preserve">2024-12-04</t>
  </si>
  <si>
    <t xml:space="preserve">TXN000032</t>
  </si>
  <si>
    <t xml:space="preserve">CUST28853</t>
  </si>
  <si>
    <t xml:space="preserve">2024-03-30</t>
  </si>
  <si>
    <t xml:space="preserve">Germany</t>
  </si>
  <si>
    <t xml:space="preserve">TXN000033</t>
  </si>
  <si>
    <t xml:space="preserve">CUST96031</t>
  </si>
  <si>
    <t xml:space="preserve">2024-10-07</t>
  </si>
  <si>
    <t xml:space="preserve">TXN000034</t>
  </si>
  <si>
    <t xml:space="preserve">CUST27591</t>
  </si>
  <si>
    <t xml:space="preserve">2024-02-22</t>
  </si>
  <si>
    <t xml:space="preserve">TXN000035</t>
  </si>
  <si>
    <t xml:space="preserve">CUST44414</t>
  </si>
  <si>
    <t xml:space="preserve">2024-04-02</t>
  </si>
  <si>
    <t xml:space="preserve">UK</t>
  </si>
  <si>
    <t xml:space="preserve">TXN000036</t>
  </si>
  <si>
    <t xml:space="preserve">CUST67472</t>
  </si>
  <si>
    <t xml:space="preserve">2024-04-21</t>
  </si>
  <si>
    <t xml:space="preserve">Japan</t>
  </si>
  <si>
    <t xml:space="preserve">TXN000039</t>
  </si>
  <si>
    <t xml:space="preserve">CUST24490</t>
  </si>
  <si>
    <t xml:space="preserve">2024-06-05</t>
  </si>
  <si>
    <t xml:space="preserve">TXN000044</t>
  </si>
  <si>
    <t xml:space="preserve">CUST80082</t>
  </si>
  <si>
    <t xml:space="preserve">2024-06-03</t>
  </si>
  <si>
    <t xml:space="preserve">Sweden</t>
  </si>
  <si>
    <t xml:space="preserve">TXN000046</t>
  </si>
  <si>
    <t xml:space="preserve">CUST87527</t>
  </si>
  <si>
    <t xml:space="preserve">2024-07-13</t>
  </si>
  <si>
    <t xml:space="preserve">TXN000050</t>
  </si>
  <si>
    <t xml:space="preserve">CUST90592</t>
  </si>
  <si>
    <t xml:space="preserve">2024-11-26</t>
  </si>
  <si>
    <t xml:space="preserve">TXN000051</t>
  </si>
  <si>
    <t xml:space="preserve">CUST68360</t>
  </si>
  <si>
    <t xml:space="preserve">2024-02-28</t>
  </si>
  <si>
    <t xml:space="preserve">TXN000053</t>
  </si>
  <si>
    <t xml:space="preserve">CUST39291</t>
  </si>
  <si>
    <t xml:space="preserve">2024-05-30</t>
  </si>
  <si>
    <t xml:space="preserve">TXN000055</t>
  </si>
  <si>
    <t xml:space="preserve">CUST88890</t>
  </si>
  <si>
    <t xml:space="preserve">2024-06-29</t>
  </si>
  <si>
    <t xml:space="preserve">TXN000057</t>
  </si>
  <si>
    <t xml:space="preserve">CUST83164</t>
  </si>
  <si>
    <t xml:space="preserve">2024-01-14</t>
  </si>
  <si>
    <t xml:space="preserve">TXN000058</t>
  </si>
  <si>
    <t xml:space="preserve">CUST40098</t>
  </si>
  <si>
    <t xml:space="preserve">2024-10-14</t>
  </si>
  <si>
    <t xml:space="preserve">Singapore</t>
  </si>
  <si>
    <t xml:space="preserve">TXN000059</t>
  </si>
  <si>
    <t xml:space="preserve">CUST51738</t>
  </si>
  <si>
    <t xml:space="preserve">2024-01-20</t>
  </si>
  <si>
    <t xml:space="preserve">TXN000060</t>
  </si>
  <si>
    <t xml:space="preserve">CUST23572</t>
  </si>
  <si>
    <t xml:space="preserve">2024-04-27</t>
  </si>
  <si>
    <t xml:space="preserve">TXN000062</t>
  </si>
  <si>
    <t xml:space="preserve">CUST50717</t>
  </si>
  <si>
    <t xml:space="preserve">Australia</t>
  </si>
  <si>
    <t xml:space="preserve">TXN000064</t>
  </si>
  <si>
    <t xml:space="preserve">CUST87607</t>
  </si>
  <si>
    <t xml:space="preserve">2024-11-18</t>
  </si>
  <si>
    <t xml:space="preserve">TXN000065</t>
  </si>
  <si>
    <t xml:space="preserve">CUST15573</t>
  </si>
  <si>
    <t xml:space="preserve">2025-01-28</t>
  </si>
  <si>
    <t xml:space="preserve">TXN000067</t>
  </si>
  <si>
    <t xml:space="preserve">CUST27787</t>
  </si>
  <si>
    <t xml:space="preserve">2024-01-04</t>
  </si>
  <si>
    <t xml:space="preserve">TXN000070</t>
  </si>
  <si>
    <t xml:space="preserve">CUST60014</t>
  </si>
  <si>
    <t xml:space="preserve">2025-01-11</t>
  </si>
  <si>
    <t xml:space="preserve">TXN000074</t>
  </si>
  <si>
    <t xml:space="preserve">CUST68157</t>
  </si>
  <si>
    <t xml:space="preserve">2024-01-25</t>
  </si>
  <si>
    <t xml:space="preserve">TXN000075</t>
  </si>
  <si>
    <t xml:space="preserve">CUST50764</t>
  </si>
  <si>
    <t xml:space="preserve">2024-03-11</t>
  </si>
  <si>
    <t xml:space="preserve">TXN000076</t>
  </si>
  <si>
    <t xml:space="preserve">CUST46541</t>
  </si>
  <si>
    <t xml:space="preserve">2024-11-14</t>
  </si>
  <si>
    <t xml:space="preserve">TXN000077</t>
  </si>
  <si>
    <t xml:space="preserve">CUST30968</t>
  </si>
  <si>
    <t xml:space="preserve">2024-11-11</t>
  </si>
  <si>
    <t xml:space="preserve">Netherlands</t>
  </si>
  <si>
    <t xml:space="preserve">TXN000078</t>
  </si>
  <si>
    <t xml:space="preserve">CUST34502</t>
  </si>
  <si>
    <t xml:space="preserve">2024-06-25</t>
  </si>
  <si>
    <t xml:space="preserve">TXN000079</t>
  </si>
  <si>
    <t xml:space="preserve">CUST17751</t>
  </si>
  <si>
    <t xml:space="preserve">2025-01-04</t>
  </si>
  <si>
    <t xml:space="preserve">France</t>
  </si>
  <si>
    <t xml:space="preserve">TXN000080</t>
  </si>
  <si>
    <t xml:space="preserve">CUST39856</t>
  </si>
  <si>
    <t xml:space="preserve">2024-06-06</t>
  </si>
  <si>
    <t xml:space="preserve">TXN000081</t>
  </si>
  <si>
    <t xml:space="preserve">CUST34466</t>
  </si>
  <si>
    <t xml:space="preserve">2024-07-04</t>
  </si>
  <si>
    <t xml:space="preserve">TXN000082</t>
  </si>
  <si>
    <t xml:space="preserve">CUST13406</t>
  </si>
  <si>
    <t xml:space="preserve">2024-08-15</t>
  </si>
  <si>
    <t xml:space="preserve">TXN000083</t>
  </si>
  <si>
    <t xml:space="preserve">CUST75667</t>
  </si>
  <si>
    <t xml:space="preserve">2024-05-12</t>
  </si>
  <si>
    <t xml:space="preserve">Spain</t>
  </si>
  <si>
    <t xml:space="preserve">TXN000086</t>
  </si>
  <si>
    <t xml:space="preserve">CUST41055</t>
  </si>
  <si>
    <t xml:space="preserve">TXN000089</t>
  </si>
  <si>
    <t xml:space="preserve">CUST33197</t>
  </si>
  <si>
    <t xml:space="preserve">2025-01-01</t>
  </si>
  <si>
    <t xml:space="preserve">TXN000091</t>
  </si>
  <si>
    <t xml:space="preserve">CUST78396</t>
  </si>
  <si>
    <t xml:space="preserve">2024-12-11</t>
  </si>
  <si>
    <t xml:space="preserve">TXN000092</t>
  </si>
  <si>
    <t xml:space="preserve">CUST12920</t>
  </si>
  <si>
    <t xml:space="preserve">2024-03-09</t>
  </si>
  <si>
    <t xml:space="preserve">TXN000093</t>
  </si>
  <si>
    <t xml:space="preserve">CUST83600</t>
  </si>
  <si>
    <t xml:space="preserve">2024-02-04</t>
  </si>
  <si>
    <t xml:space="preserve">TXN000095</t>
  </si>
  <si>
    <t xml:space="preserve">CUST25719</t>
  </si>
  <si>
    <t xml:space="preserve">2024-04-28</t>
  </si>
  <si>
    <t xml:space="preserve">TXN000098</t>
  </si>
  <si>
    <t xml:space="preserve">CUST52311</t>
  </si>
  <si>
    <t xml:space="preserve">TXN000103</t>
  </si>
  <si>
    <t xml:space="preserve">CUST78526</t>
  </si>
  <si>
    <t xml:space="preserve">2024-04-07</t>
  </si>
  <si>
    <t xml:space="preserve">TXN000105</t>
  </si>
  <si>
    <t xml:space="preserve">CUST59964</t>
  </si>
  <si>
    <t xml:space="preserve">2024-02-19</t>
  </si>
  <si>
    <t xml:space="preserve">TXN000109</t>
  </si>
  <si>
    <t xml:space="preserve">CUST97276</t>
  </si>
  <si>
    <t xml:space="preserve">2024-10-21</t>
  </si>
  <si>
    <t xml:space="preserve">TXN000110</t>
  </si>
  <si>
    <t xml:space="preserve">CUST84322</t>
  </si>
  <si>
    <t xml:space="preserve">2024-02-16</t>
  </si>
  <si>
    <t xml:space="preserve">TXN000112</t>
  </si>
  <si>
    <t xml:space="preserve">CUST50277</t>
  </si>
  <si>
    <t xml:space="preserve">2025-02-03</t>
  </si>
  <si>
    <t xml:space="preserve">TXN000113</t>
  </si>
  <si>
    <t xml:space="preserve">CUST99051</t>
  </si>
  <si>
    <t xml:space="preserve">2024-06-16</t>
  </si>
  <si>
    <t xml:space="preserve">TXN000115</t>
  </si>
  <si>
    <t xml:space="preserve">CUST51392</t>
  </si>
  <si>
    <t xml:space="preserve">2024-04-12</t>
  </si>
  <si>
    <t xml:space="preserve">TXN000117</t>
  </si>
  <si>
    <t xml:space="preserve">CUST52599</t>
  </si>
  <si>
    <t xml:space="preserve">2024-07-19</t>
  </si>
  <si>
    <t xml:space="preserve">TXN000118</t>
  </si>
  <si>
    <t xml:space="preserve">CUST41288</t>
  </si>
  <si>
    <t xml:space="preserve">TXN000119</t>
  </si>
  <si>
    <t xml:space="preserve">CUST76730</t>
  </si>
  <si>
    <t xml:space="preserve">2024-03-03</t>
  </si>
  <si>
    <t xml:space="preserve">TXN000120</t>
  </si>
  <si>
    <t xml:space="preserve">CUST10403</t>
  </si>
  <si>
    <t xml:space="preserve">2024-03-05</t>
  </si>
  <si>
    <t xml:space="preserve">TXN000121</t>
  </si>
  <si>
    <t xml:space="preserve">CUST68202</t>
  </si>
  <si>
    <t xml:space="preserve">TXN000122</t>
  </si>
  <si>
    <t xml:space="preserve">CUST74445</t>
  </si>
  <si>
    <t xml:space="preserve">TXN000124</t>
  </si>
  <si>
    <t xml:space="preserve">CUST13108</t>
  </si>
  <si>
    <t xml:space="preserve">2024-01-11</t>
  </si>
  <si>
    <t xml:space="preserve">TXN000126</t>
  </si>
  <si>
    <t xml:space="preserve">CUST57433</t>
  </si>
  <si>
    <t xml:space="preserve">TXN000127</t>
  </si>
  <si>
    <t xml:space="preserve">CUST36956</t>
  </si>
  <si>
    <t xml:space="preserve">2024-01-23</t>
  </si>
  <si>
    <t xml:space="preserve">TXN000129</t>
  </si>
  <si>
    <t xml:space="preserve">CUST90079</t>
  </si>
  <si>
    <t xml:space="preserve">2024-08-26</t>
  </si>
  <si>
    <t xml:space="preserve">TXN000131</t>
  </si>
  <si>
    <t xml:space="preserve">CUST12261</t>
  </si>
  <si>
    <t xml:space="preserve">2024-04-08</t>
  </si>
  <si>
    <t xml:space="preserve">TXN000134</t>
  </si>
  <si>
    <t xml:space="preserve">CUST18168</t>
  </si>
  <si>
    <t xml:space="preserve">2024-09-04</t>
  </si>
  <si>
    <t xml:space="preserve">TXN000138</t>
  </si>
  <si>
    <t xml:space="preserve">CUST45521</t>
  </si>
  <si>
    <t xml:space="preserve">2024-09-28</t>
  </si>
  <si>
    <t xml:space="preserve">TXN000139</t>
  </si>
  <si>
    <t xml:space="preserve">CUST63989</t>
  </si>
  <si>
    <t xml:space="preserve">2024-03-31</t>
  </si>
  <si>
    <t xml:space="preserve">TXN000143</t>
  </si>
  <si>
    <t xml:space="preserve">CUST18865</t>
  </si>
  <si>
    <t xml:space="preserve">2024-03-12</t>
  </si>
  <si>
    <t xml:space="preserve">TXN000144</t>
  </si>
  <si>
    <t xml:space="preserve">CUST57812</t>
  </si>
  <si>
    <t xml:space="preserve">2024-01-08</t>
  </si>
  <si>
    <t xml:space="preserve">TXN000146</t>
  </si>
  <si>
    <t xml:space="preserve">CUST40468</t>
  </si>
  <si>
    <t xml:space="preserve">2024-03-21</t>
  </si>
  <si>
    <t xml:space="preserve">TXN000147</t>
  </si>
  <si>
    <t xml:space="preserve">CUST75471</t>
  </si>
  <si>
    <t xml:space="preserve">2024-10-02</t>
  </si>
  <si>
    <t xml:space="preserve">TXN000148</t>
  </si>
  <si>
    <t xml:space="preserve">CUST15623</t>
  </si>
  <si>
    <t xml:space="preserve">2024-01-27</t>
  </si>
  <si>
    <t xml:space="preserve">TXN000149</t>
  </si>
  <si>
    <t xml:space="preserve">CUST38364</t>
  </si>
  <si>
    <t xml:space="preserve">2025-01-05</t>
  </si>
  <si>
    <t xml:space="preserve">TXN000150</t>
  </si>
  <si>
    <t xml:space="preserve">CUST84330</t>
  </si>
  <si>
    <t xml:space="preserve">TXN000152</t>
  </si>
  <si>
    <t xml:space="preserve">CUST18005</t>
  </si>
  <si>
    <t xml:space="preserve">2024-08-29</t>
  </si>
  <si>
    <t xml:space="preserve">TXN000154</t>
  </si>
  <si>
    <t xml:space="preserve">CUST99896</t>
  </si>
  <si>
    <t xml:space="preserve">2024-12-24</t>
  </si>
  <si>
    <t xml:space="preserve">TXN000155</t>
  </si>
  <si>
    <t xml:space="preserve">CUST15231</t>
  </si>
  <si>
    <t xml:space="preserve">2024-02-15</t>
  </si>
  <si>
    <t xml:space="preserve">TXN000156</t>
  </si>
  <si>
    <t xml:space="preserve">CUST90626</t>
  </si>
  <si>
    <t xml:space="preserve">2025-01-07</t>
  </si>
  <si>
    <t xml:space="preserve">TXN000157</t>
  </si>
  <si>
    <t xml:space="preserve">CUST92183</t>
  </si>
  <si>
    <t xml:space="preserve">2024-04-22</t>
  </si>
  <si>
    <t xml:space="preserve">TXN000158</t>
  </si>
  <si>
    <t xml:space="preserve">CUST43126</t>
  </si>
  <si>
    <t xml:space="preserve">TXN000161</t>
  </si>
  <si>
    <t xml:space="preserve">CUST51885</t>
  </si>
  <si>
    <t xml:space="preserve">2024-09-22</t>
  </si>
  <si>
    <t xml:space="preserve">TXN000164</t>
  </si>
  <si>
    <t xml:space="preserve">CUST42029</t>
  </si>
  <si>
    <t xml:space="preserve">2024-07-03</t>
  </si>
  <si>
    <t xml:space="preserve">TXN000165</t>
  </si>
  <si>
    <t xml:space="preserve">CUST86857</t>
  </si>
  <si>
    <t xml:space="preserve">2024-10-15</t>
  </si>
  <si>
    <t xml:space="preserve">TXN000166</t>
  </si>
  <si>
    <t xml:space="preserve">CUST78695</t>
  </si>
  <si>
    <t xml:space="preserve">2024-03-17</t>
  </si>
  <si>
    <t xml:space="preserve">TXN000169</t>
  </si>
  <si>
    <t xml:space="preserve">CUST89506</t>
  </si>
  <si>
    <t xml:space="preserve">2024-05-26</t>
  </si>
  <si>
    <t xml:space="preserve">TXN000170</t>
  </si>
  <si>
    <t xml:space="preserve">CUST41185</t>
  </si>
  <si>
    <t xml:space="preserve">2024-05-18</t>
  </si>
  <si>
    <t xml:space="preserve">TXN000173</t>
  </si>
  <si>
    <t xml:space="preserve">CUST58475</t>
  </si>
  <si>
    <t xml:space="preserve">2024-11-23</t>
  </si>
  <si>
    <t xml:space="preserve">TXN000174</t>
  </si>
  <si>
    <t xml:space="preserve">CUST72468</t>
  </si>
  <si>
    <t xml:space="preserve">TXN000175</t>
  </si>
  <si>
    <t xml:space="preserve">CUST67191</t>
  </si>
  <si>
    <t xml:space="preserve">TXN000180</t>
  </si>
  <si>
    <t xml:space="preserve">CUST50816</t>
  </si>
  <si>
    <t xml:space="preserve">2024-02-10</t>
  </si>
  <si>
    <t xml:space="preserve">TXN000186</t>
  </si>
  <si>
    <t xml:space="preserve">CUST26279</t>
  </si>
  <si>
    <t xml:space="preserve">2024-08-20</t>
  </si>
  <si>
    <t xml:space="preserve">TXN000187</t>
  </si>
  <si>
    <t xml:space="preserve">CUST91173</t>
  </si>
  <si>
    <t xml:space="preserve">TXN000190</t>
  </si>
  <si>
    <t xml:space="preserve">CUST55611</t>
  </si>
  <si>
    <t xml:space="preserve">TXN000191</t>
  </si>
  <si>
    <t xml:space="preserve">CUST78730</t>
  </si>
  <si>
    <t xml:space="preserve">2024-07-18</t>
  </si>
  <si>
    <t xml:space="preserve">TXN000193</t>
  </si>
  <si>
    <t xml:space="preserve">CUST24867</t>
  </si>
  <si>
    <t xml:space="preserve">2024-12-20</t>
  </si>
  <si>
    <t xml:space="preserve">TXN000195</t>
  </si>
  <si>
    <t xml:space="preserve">CUST51017</t>
  </si>
  <si>
    <t xml:space="preserve">2024-08-28</t>
  </si>
  <si>
    <t xml:space="preserve">TXN000198</t>
  </si>
  <si>
    <t xml:space="preserve">CUST41961</t>
  </si>
  <si>
    <t xml:space="preserve">2024-07-15</t>
  </si>
  <si>
    <t xml:space="preserve">TXN000200</t>
  </si>
  <si>
    <t xml:space="preserve">CUST48674</t>
  </si>
  <si>
    <t xml:space="preserve">2024-04-18</t>
  </si>
  <si>
    <t xml:space="preserve">TXN000202</t>
  </si>
  <si>
    <t xml:space="preserve">CUST51247</t>
  </si>
  <si>
    <t xml:space="preserve">2025-01-27</t>
  </si>
  <si>
    <t xml:space="preserve">TXN000204</t>
  </si>
  <si>
    <t xml:space="preserve">CUST94576</t>
  </si>
  <si>
    <t xml:space="preserve">TXN000205</t>
  </si>
  <si>
    <t xml:space="preserve">CUST64063</t>
  </si>
  <si>
    <t xml:space="preserve">2024-08-25</t>
  </si>
  <si>
    <t xml:space="preserve">TXN000207</t>
  </si>
  <si>
    <t xml:space="preserve">CUST82998</t>
  </si>
  <si>
    <t xml:space="preserve">2024-10-03</t>
  </si>
  <si>
    <t xml:space="preserve">TXN000210</t>
  </si>
  <si>
    <t xml:space="preserve">CUST19147</t>
  </si>
  <si>
    <t xml:space="preserve">2025-01-18</t>
  </si>
  <si>
    <t xml:space="preserve">TXN000211</t>
  </si>
  <si>
    <t xml:space="preserve">CUST47183</t>
  </si>
  <si>
    <t xml:space="preserve">2024-06-04</t>
  </si>
  <si>
    <t xml:space="preserve">TXN000212</t>
  </si>
  <si>
    <t xml:space="preserve">CUST42211</t>
  </si>
  <si>
    <t xml:space="preserve">2024-05-01</t>
  </si>
  <si>
    <t xml:space="preserve">TXN000213</t>
  </si>
  <si>
    <t xml:space="preserve">CUST24455</t>
  </si>
  <si>
    <t xml:space="preserve">TXN000215</t>
  </si>
  <si>
    <t xml:space="preserve">CUST15911</t>
  </si>
  <si>
    <t xml:space="preserve">2024-05-03</t>
  </si>
  <si>
    <t xml:space="preserve">TXN000219</t>
  </si>
  <si>
    <t xml:space="preserve">CUST97366</t>
  </si>
  <si>
    <t xml:space="preserve">2024-07-22</t>
  </si>
  <si>
    <t xml:space="preserve">TXN000224</t>
  </si>
  <si>
    <t xml:space="preserve">CUST77533</t>
  </si>
  <si>
    <t xml:space="preserve">2024-07-25</t>
  </si>
  <si>
    <t xml:space="preserve">TXN000225</t>
  </si>
  <si>
    <t xml:space="preserve">CUST18988</t>
  </si>
  <si>
    <t xml:space="preserve">2024-11-30</t>
  </si>
  <si>
    <t xml:space="preserve">TXN000226</t>
  </si>
  <si>
    <t xml:space="preserve">CUST87811</t>
  </si>
  <si>
    <t xml:space="preserve">2024-02-12</t>
  </si>
  <si>
    <t xml:space="preserve">TXN000227</t>
  </si>
  <si>
    <t xml:space="preserve">CUST89900</t>
  </si>
  <si>
    <t xml:space="preserve">2024-06-22</t>
  </si>
  <si>
    <t xml:space="preserve">TXN000230</t>
  </si>
  <si>
    <t xml:space="preserve">CUST48996</t>
  </si>
  <si>
    <t xml:space="preserve">2024-04-05</t>
  </si>
  <si>
    <t xml:space="preserve">TXN000232</t>
  </si>
  <si>
    <t xml:space="preserve">CUST56033</t>
  </si>
  <si>
    <t xml:space="preserve">2024-12-15</t>
  </si>
  <si>
    <t xml:space="preserve">TXN000233</t>
  </si>
  <si>
    <t xml:space="preserve">CUST42510</t>
  </si>
  <si>
    <t xml:space="preserve">2024-01-07</t>
  </si>
  <si>
    <t xml:space="preserve">TXN000234</t>
  </si>
  <si>
    <t xml:space="preserve">CUST94240</t>
  </si>
  <si>
    <t xml:space="preserve">TXN000235</t>
  </si>
  <si>
    <t xml:space="preserve">CUST42968</t>
  </si>
  <si>
    <t xml:space="preserve">2024-11-05</t>
  </si>
  <si>
    <t xml:space="preserve">TXN000236</t>
  </si>
  <si>
    <t xml:space="preserve">CUST15026</t>
  </si>
  <si>
    <t xml:space="preserve">2024-11-01</t>
  </si>
  <si>
    <t xml:space="preserve">TXN000238</t>
  </si>
  <si>
    <t xml:space="preserve">CUST97087</t>
  </si>
  <si>
    <t xml:space="preserve">TXN000239</t>
  </si>
  <si>
    <t xml:space="preserve">CUST46895</t>
  </si>
  <si>
    <t xml:space="preserve">2024-11-25</t>
  </si>
  <si>
    <t xml:space="preserve">TXN000245</t>
  </si>
  <si>
    <t xml:space="preserve">CUST19460</t>
  </si>
  <si>
    <t xml:space="preserve">2025-01-06</t>
  </si>
  <si>
    <t xml:space="preserve">TXN000247</t>
  </si>
  <si>
    <t xml:space="preserve">CUST52320</t>
  </si>
  <si>
    <t xml:space="preserve">TXN000249</t>
  </si>
  <si>
    <t xml:space="preserve">CUST19806</t>
  </si>
  <si>
    <t xml:space="preserve">2024-09-03</t>
  </si>
  <si>
    <t xml:space="preserve">TXN000250</t>
  </si>
  <si>
    <t xml:space="preserve">CUST26945</t>
  </si>
  <si>
    <t xml:space="preserve">2024-09-01</t>
  </si>
  <si>
    <t xml:space="preserve">TXN000251</t>
  </si>
  <si>
    <t xml:space="preserve">CUST43581</t>
  </si>
  <si>
    <t xml:space="preserve">2024-08-13</t>
  </si>
  <si>
    <t xml:space="preserve">TXN000256</t>
  </si>
  <si>
    <t xml:space="preserve">CUST20556</t>
  </si>
  <si>
    <t xml:space="preserve">TXN000257</t>
  </si>
  <si>
    <t xml:space="preserve">CUST69458</t>
  </si>
  <si>
    <t xml:space="preserve">2024-01-26</t>
  </si>
  <si>
    <t xml:space="preserve">TXN000259</t>
  </si>
  <si>
    <t xml:space="preserve">CUST68613</t>
  </si>
  <si>
    <t xml:space="preserve">2024-04-15</t>
  </si>
  <si>
    <t xml:space="preserve">TXN000263</t>
  </si>
  <si>
    <t xml:space="preserve">CUST73281</t>
  </si>
  <si>
    <t xml:space="preserve">2024-05-19</t>
  </si>
  <si>
    <t xml:space="preserve">TXN000265</t>
  </si>
  <si>
    <t xml:space="preserve">CUST15694</t>
  </si>
  <si>
    <t xml:space="preserve">2024-09-10</t>
  </si>
  <si>
    <t xml:space="preserve">TXN000266</t>
  </si>
  <si>
    <t xml:space="preserve">CUST57197</t>
  </si>
  <si>
    <t xml:space="preserve">2024-02-25</t>
  </si>
  <si>
    <t xml:space="preserve">TXN000269</t>
  </si>
  <si>
    <t xml:space="preserve">CUST23807</t>
  </si>
  <si>
    <t xml:space="preserve">2024-09-05</t>
  </si>
  <si>
    <t xml:space="preserve">TXN000270</t>
  </si>
  <si>
    <t xml:space="preserve">CUST20855</t>
  </si>
  <si>
    <t xml:space="preserve">2024-06-24</t>
  </si>
  <si>
    <t xml:space="preserve">TXN000271</t>
  </si>
  <si>
    <t xml:space="preserve">CUST90631</t>
  </si>
  <si>
    <t xml:space="preserve">TXN000272</t>
  </si>
  <si>
    <t xml:space="preserve">CUST62883</t>
  </si>
  <si>
    <t xml:space="preserve">TXN000273</t>
  </si>
  <si>
    <t xml:space="preserve">CUST86307</t>
  </si>
  <si>
    <t xml:space="preserve">USA</t>
  </si>
  <si>
    <t xml:space="preserve">TXN000274</t>
  </si>
  <si>
    <t xml:space="preserve">CUST63338</t>
  </si>
  <si>
    <t xml:space="preserve">2024-09-14</t>
  </si>
  <si>
    <t xml:space="preserve">TXN000275</t>
  </si>
  <si>
    <t xml:space="preserve">CUST77773</t>
  </si>
  <si>
    <t xml:space="preserve">2024-08-01</t>
  </si>
  <si>
    <t xml:space="preserve">TXN000277</t>
  </si>
  <si>
    <t xml:space="preserve">CUST45153</t>
  </si>
  <si>
    <t xml:space="preserve">2024-06-12</t>
  </si>
  <si>
    <t xml:space="preserve">TXN000280</t>
  </si>
  <si>
    <t xml:space="preserve">CUST67814</t>
  </si>
  <si>
    <t xml:space="preserve">2024-10-23</t>
  </si>
  <si>
    <t xml:space="preserve">TXN000281</t>
  </si>
  <si>
    <t xml:space="preserve">CUST64790</t>
  </si>
  <si>
    <t xml:space="preserve">2024-11-03</t>
  </si>
  <si>
    <t xml:space="preserve">TXN000284</t>
  </si>
  <si>
    <t xml:space="preserve">CUST24813</t>
  </si>
  <si>
    <t xml:space="preserve">2024-12-08</t>
  </si>
  <si>
    <t xml:space="preserve">TXN000285</t>
  </si>
  <si>
    <t xml:space="preserve">CUST71009</t>
  </si>
  <si>
    <t xml:space="preserve">2024-11-22</t>
  </si>
  <si>
    <t xml:space="preserve">TXN000286</t>
  </si>
  <si>
    <t xml:space="preserve">CUST45416</t>
  </si>
  <si>
    <t xml:space="preserve">2024-05-14</t>
  </si>
  <si>
    <t xml:space="preserve">TXN000287</t>
  </si>
  <si>
    <t xml:space="preserve">CUST25437</t>
  </si>
  <si>
    <t xml:space="preserve">2024-12-12</t>
  </si>
  <si>
    <t xml:space="preserve">TXN000288</t>
  </si>
  <si>
    <t xml:space="preserve">CUST17855</t>
  </si>
  <si>
    <t xml:space="preserve">2024-09-16</t>
  </si>
  <si>
    <t xml:space="preserve">TXN000289</t>
  </si>
  <si>
    <t xml:space="preserve">CUST62634</t>
  </si>
  <si>
    <t xml:space="preserve">2024-02-06</t>
  </si>
  <si>
    <t xml:space="preserve">TXN000290</t>
  </si>
  <si>
    <t xml:space="preserve">CUST38769</t>
  </si>
  <si>
    <t xml:space="preserve">2024-01-18</t>
  </si>
  <si>
    <t xml:space="preserve">TXN000291</t>
  </si>
  <si>
    <t xml:space="preserve">CUST21032</t>
  </si>
  <si>
    <t xml:space="preserve">TXN000292</t>
  </si>
  <si>
    <t xml:space="preserve">CUST57784</t>
  </si>
  <si>
    <t xml:space="preserve">2024-11-15</t>
  </si>
  <si>
    <t xml:space="preserve">TXN000294</t>
  </si>
  <si>
    <t xml:space="preserve">CUST34596</t>
  </si>
  <si>
    <t xml:space="preserve">2024-02-23</t>
  </si>
  <si>
    <t xml:space="preserve">TXN000295</t>
  </si>
  <si>
    <t xml:space="preserve">CUST46780</t>
  </si>
  <si>
    <t xml:space="preserve">2024-02-11</t>
  </si>
  <si>
    <t xml:space="preserve">TXN000296</t>
  </si>
  <si>
    <t xml:space="preserve">CUST62495</t>
  </si>
  <si>
    <t xml:space="preserve">2024-10-04</t>
  </si>
  <si>
    <t xml:space="preserve">TXN000297</t>
  </si>
  <si>
    <t xml:space="preserve">CUST46100</t>
  </si>
  <si>
    <t xml:space="preserve">TXN000298</t>
  </si>
  <si>
    <t xml:space="preserve">CUST70569</t>
  </si>
  <si>
    <t xml:space="preserve">2024-11-20</t>
  </si>
  <si>
    <t xml:space="preserve">TXN000299</t>
  </si>
  <si>
    <t xml:space="preserve">CUST94080</t>
  </si>
  <si>
    <t xml:space="preserve">2024-06-13</t>
  </si>
  <si>
    <t xml:space="preserve">TXN000305</t>
  </si>
  <si>
    <t xml:space="preserve">CUST14525</t>
  </si>
  <si>
    <t xml:space="preserve">TXN000307</t>
  </si>
  <si>
    <t xml:space="preserve">CUST25398</t>
  </si>
  <si>
    <t xml:space="preserve">2024-03-06</t>
  </si>
  <si>
    <t xml:space="preserve">TXN000309</t>
  </si>
  <si>
    <t xml:space="preserve">CUST85699</t>
  </si>
  <si>
    <t xml:space="preserve">TXN000311</t>
  </si>
  <si>
    <t xml:space="preserve">CUST37033</t>
  </si>
  <si>
    <t xml:space="preserve">2024-08-02</t>
  </si>
  <si>
    <t xml:space="preserve">TXN000314</t>
  </si>
  <si>
    <t xml:space="preserve">CUST10362</t>
  </si>
  <si>
    <t xml:space="preserve">2024-11-06</t>
  </si>
  <si>
    <t xml:space="preserve">TXN000316</t>
  </si>
  <si>
    <t xml:space="preserve">CUST52257</t>
  </si>
  <si>
    <t xml:space="preserve">2024-02-18</t>
  </si>
  <si>
    <t xml:space="preserve">TXN000317</t>
  </si>
  <si>
    <t xml:space="preserve">CUST41034</t>
  </si>
  <si>
    <t xml:space="preserve">2024-03-23</t>
  </si>
  <si>
    <t xml:space="preserve">TXN000319</t>
  </si>
  <si>
    <t xml:space="preserve">CUST30868</t>
  </si>
  <si>
    <t xml:space="preserve">2024-10-27</t>
  </si>
  <si>
    <t xml:space="preserve">TXN000320</t>
  </si>
  <si>
    <t xml:space="preserve">CUST62778</t>
  </si>
  <si>
    <t xml:space="preserve">2024-04-26</t>
  </si>
  <si>
    <t xml:space="preserve">TXN000321</t>
  </si>
  <si>
    <t xml:space="preserve">CUST46149</t>
  </si>
  <si>
    <t xml:space="preserve">TXN000322</t>
  </si>
  <si>
    <t xml:space="preserve">CUST45975</t>
  </si>
  <si>
    <t xml:space="preserve">TXN000323</t>
  </si>
  <si>
    <t xml:space="preserve">CUST32705</t>
  </si>
  <si>
    <t xml:space="preserve">2025-01-16</t>
  </si>
  <si>
    <t xml:space="preserve">TXN000324</t>
  </si>
  <si>
    <t xml:space="preserve">CUST95423</t>
  </si>
  <si>
    <t xml:space="preserve">2024-08-18</t>
  </si>
  <si>
    <t xml:space="preserve">TXN000325</t>
  </si>
  <si>
    <t xml:space="preserve">CUST16053</t>
  </si>
  <si>
    <t xml:space="preserve">TXN000326</t>
  </si>
  <si>
    <t xml:space="preserve">CUST80455</t>
  </si>
  <si>
    <t xml:space="preserve">TXN000328</t>
  </si>
  <si>
    <t xml:space="preserve">CUST74448</t>
  </si>
  <si>
    <t xml:space="preserve">2024-03-01</t>
  </si>
  <si>
    <t xml:space="preserve">TXN000329</t>
  </si>
  <si>
    <t xml:space="preserve">CUST96746</t>
  </si>
  <si>
    <t xml:space="preserve">2024-05-11</t>
  </si>
  <si>
    <t xml:space="preserve">TXN000331</t>
  </si>
  <si>
    <t xml:space="preserve">CUST26079</t>
  </si>
  <si>
    <t xml:space="preserve">2024-07-01</t>
  </si>
  <si>
    <t xml:space="preserve">TXN000334</t>
  </si>
  <si>
    <t xml:space="preserve">CUST32965</t>
  </si>
  <si>
    <t xml:space="preserve">2025-01-24</t>
  </si>
  <si>
    <t xml:space="preserve">TXN000336</t>
  </si>
  <si>
    <t xml:space="preserve">CUST25759</t>
  </si>
  <si>
    <t xml:space="preserve">TXN000337</t>
  </si>
  <si>
    <t xml:space="preserve">CUST64298</t>
  </si>
  <si>
    <t xml:space="preserve">TXN000338</t>
  </si>
  <si>
    <t xml:space="preserve">CUST40597</t>
  </si>
  <si>
    <t xml:space="preserve">TXN000339</t>
  </si>
  <si>
    <t xml:space="preserve">CUST58664</t>
  </si>
  <si>
    <t xml:space="preserve">TXN000341</t>
  </si>
  <si>
    <t xml:space="preserve">CUST66042</t>
  </si>
  <si>
    <t xml:space="preserve">TXN000343</t>
  </si>
  <si>
    <t xml:space="preserve">CUST25189</t>
  </si>
  <si>
    <t xml:space="preserve">2024-09-25</t>
  </si>
  <si>
    <t xml:space="preserve">TXN000346</t>
  </si>
  <si>
    <t xml:space="preserve">CUST17335</t>
  </si>
  <si>
    <t xml:space="preserve">TXN000347</t>
  </si>
  <si>
    <t xml:space="preserve">CUST20763</t>
  </si>
  <si>
    <t xml:space="preserve">2024-10-22</t>
  </si>
  <si>
    <t xml:space="preserve">TXN000348</t>
  </si>
  <si>
    <t xml:space="preserve">CUST96110</t>
  </si>
  <si>
    <t xml:space="preserve">2024-11-04</t>
  </si>
  <si>
    <t xml:space="preserve">TXN000349</t>
  </si>
  <si>
    <t xml:space="preserve">CUST81348</t>
  </si>
  <si>
    <t xml:space="preserve">2024-06-02</t>
  </si>
  <si>
    <t xml:space="preserve">TXN000352</t>
  </si>
  <si>
    <t xml:space="preserve">CUST42235</t>
  </si>
  <si>
    <t xml:space="preserve">TXN000354</t>
  </si>
  <si>
    <t xml:space="preserve">CUST59165</t>
  </si>
  <si>
    <t xml:space="preserve">2024-07-14</t>
  </si>
  <si>
    <t xml:space="preserve">TXN000356</t>
  </si>
  <si>
    <t xml:space="preserve">CUST76272</t>
  </si>
  <si>
    <t xml:space="preserve">TXN000357</t>
  </si>
  <si>
    <t xml:space="preserve">CUST94299</t>
  </si>
  <si>
    <t xml:space="preserve">2024-04-11</t>
  </si>
  <si>
    <t xml:space="preserve">TXN000358</t>
  </si>
  <si>
    <t xml:space="preserve">CUST68709</t>
  </si>
  <si>
    <t xml:space="preserve">2024-08-30</t>
  </si>
  <si>
    <t xml:space="preserve">TXN000360</t>
  </si>
  <si>
    <t xml:space="preserve">CUST18026</t>
  </si>
  <si>
    <t xml:space="preserve">2024-11-13</t>
  </si>
  <si>
    <t xml:space="preserve">TXN000363</t>
  </si>
  <si>
    <t xml:space="preserve">CUST54712</t>
  </si>
  <si>
    <t xml:space="preserve">TXN000365</t>
  </si>
  <si>
    <t xml:space="preserve">CUST98522</t>
  </si>
  <si>
    <t xml:space="preserve">TXN000366</t>
  </si>
  <si>
    <t xml:space="preserve">CUST34272</t>
  </si>
  <si>
    <t xml:space="preserve">TXN000370</t>
  </si>
  <si>
    <t xml:space="preserve">CUST59908</t>
  </si>
  <si>
    <t xml:space="preserve">TXN000372</t>
  </si>
  <si>
    <t xml:space="preserve">CUST95843</t>
  </si>
  <si>
    <t xml:space="preserve">2024-09-27</t>
  </si>
  <si>
    <t xml:space="preserve">TXN000375</t>
  </si>
  <si>
    <t xml:space="preserve">CUST51493</t>
  </si>
  <si>
    <t xml:space="preserve">TXN000376</t>
  </si>
  <si>
    <t xml:space="preserve">CUST37267</t>
  </si>
  <si>
    <t xml:space="preserve">2024-03-24</t>
  </si>
  <si>
    <t xml:space="preserve">TXN000380</t>
  </si>
  <si>
    <t xml:space="preserve">CUST57017</t>
  </si>
  <si>
    <t xml:space="preserve">TXN000381</t>
  </si>
  <si>
    <t xml:space="preserve">CUST63536</t>
  </si>
  <si>
    <t xml:space="preserve">2024-12-03</t>
  </si>
  <si>
    <t xml:space="preserve">TXN000385</t>
  </si>
  <si>
    <t xml:space="preserve">CUST57554</t>
  </si>
  <si>
    <t xml:space="preserve">TXN000387</t>
  </si>
  <si>
    <t xml:space="preserve">CUST92858</t>
  </si>
  <si>
    <t xml:space="preserve">2024-02-14</t>
  </si>
  <si>
    <t xml:space="preserve">TXN000390</t>
  </si>
  <si>
    <t xml:space="preserve">CUST64015</t>
  </si>
  <si>
    <t xml:space="preserve">TXN000393</t>
  </si>
  <si>
    <t xml:space="preserve">CUST64316</t>
  </si>
  <si>
    <t xml:space="preserve">2024-01-05</t>
  </si>
  <si>
    <t xml:space="preserve">TXN000395</t>
  </si>
  <si>
    <t xml:space="preserve">CUST70378</t>
  </si>
  <si>
    <t xml:space="preserve">TXN000400</t>
  </si>
  <si>
    <t xml:space="preserve">CUST75930</t>
  </si>
  <si>
    <t xml:space="preserve">2025-02-02</t>
  </si>
  <si>
    <t xml:space="preserve">TXN000401</t>
  </si>
  <si>
    <t xml:space="preserve">CUST84888</t>
  </si>
  <si>
    <t xml:space="preserve">2024-01-06</t>
  </si>
  <si>
    <t xml:space="preserve">TXN000408</t>
  </si>
  <si>
    <t xml:space="preserve">CUST23533</t>
  </si>
  <si>
    <t xml:space="preserve">TXN000409</t>
  </si>
  <si>
    <t xml:space="preserve">CUST42738</t>
  </si>
  <si>
    <t xml:space="preserve">TXN000411</t>
  </si>
  <si>
    <t xml:space="preserve">CUST89769</t>
  </si>
  <si>
    <t xml:space="preserve">2024-07-29</t>
  </si>
  <si>
    <t xml:space="preserve">TXN000412</t>
  </si>
  <si>
    <t xml:space="preserve">CUST69883</t>
  </si>
  <si>
    <t xml:space="preserve">2024-08-27</t>
  </si>
  <si>
    <t xml:space="preserve">TXN000413</t>
  </si>
  <si>
    <t xml:space="preserve">CUST58679</t>
  </si>
  <si>
    <t xml:space="preserve">TXN000414</t>
  </si>
  <si>
    <t xml:space="preserve">CUST94673</t>
  </si>
  <si>
    <t xml:space="preserve">2024-09-12</t>
  </si>
  <si>
    <t xml:space="preserve">TXN000418</t>
  </si>
  <si>
    <t xml:space="preserve">CUST34046</t>
  </si>
  <si>
    <t xml:space="preserve">TXN000419</t>
  </si>
  <si>
    <t xml:space="preserve">CUST74732</t>
  </si>
  <si>
    <t xml:space="preserve">TXN000420</t>
  </si>
  <si>
    <t xml:space="preserve">CUST62535</t>
  </si>
  <si>
    <t xml:space="preserve">2024-05-05</t>
  </si>
  <si>
    <t xml:space="preserve">TXN000421</t>
  </si>
  <si>
    <t xml:space="preserve">CUST86484</t>
  </si>
  <si>
    <t xml:space="preserve">2024-03-15</t>
  </si>
  <si>
    <t xml:space="preserve">TXN000426</t>
  </si>
  <si>
    <t xml:space="preserve">CUST40051</t>
  </si>
  <si>
    <t xml:space="preserve">TXN000427</t>
  </si>
  <si>
    <t xml:space="preserve">CUST86670</t>
  </si>
  <si>
    <t xml:space="preserve">2024-03-19</t>
  </si>
  <si>
    <t xml:space="preserve">TXN000430</t>
  </si>
  <si>
    <t xml:space="preserve">CUST81122</t>
  </si>
  <si>
    <t xml:space="preserve">TXN000431</t>
  </si>
  <si>
    <t xml:space="preserve">CUST16581</t>
  </si>
  <si>
    <t xml:space="preserve">2024-05-06</t>
  </si>
  <si>
    <t xml:space="preserve">TXN000433</t>
  </si>
  <si>
    <t xml:space="preserve">CUST96088</t>
  </si>
  <si>
    <t xml:space="preserve">2025-01-25</t>
  </si>
  <si>
    <t xml:space="preserve">TXN000434</t>
  </si>
  <si>
    <t xml:space="preserve">CUST73106</t>
  </si>
  <si>
    <t xml:space="preserve">TXN000435</t>
  </si>
  <si>
    <t xml:space="preserve">CUST13054</t>
  </si>
  <si>
    <t xml:space="preserve">2024-05-22</t>
  </si>
  <si>
    <t xml:space="preserve">TXN000436</t>
  </si>
  <si>
    <t xml:space="preserve">CUST99718</t>
  </si>
  <si>
    <t xml:space="preserve">TXN000440</t>
  </si>
  <si>
    <t xml:space="preserve">CUST28524</t>
  </si>
  <si>
    <t xml:space="preserve">2024-02-07</t>
  </si>
  <si>
    <t xml:space="preserve">TXN000441</t>
  </si>
  <si>
    <t xml:space="preserve">CUST93235</t>
  </si>
  <si>
    <t xml:space="preserve">2024-09-26</t>
  </si>
  <si>
    <t xml:space="preserve">TXN000442</t>
  </si>
  <si>
    <t xml:space="preserve">CUST57704</t>
  </si>
  <si>
    <t xml:space="preserve">TXN000445</t>
  </si>
  <si>
    <t xml:space="preserve">CUST51621</t>
  </si>
  <si>
    <t xml:space="preserve">TXN000446</t>
  </si>
  <si>
    <t xml:space="preserve">CUST94239</t>
  </si>
  <si>
    <t xml:space="preserve">TXN000448</t>
  </si>
  <si>
    <t xml:space="preserve">CUST34287</t>
  </si>
  <si>
    <t xml:space="preserve">2024-02-20</t>
  </si>
  <si>
    <t xml:space="preserve">TXN000449</t>
  </si>
  <si>
    <t xml:space="preserve">CUST41432</t>
  </si>
  <si>
    <t xml:space="preserve">TXN000450</t>
  </si>
  <si>
    <t xml:space="preserve">CUST89400</t>
  </si>
  <si>
    <t xml:space="preserve">TXN000451</t>
  </si>
  <si>
    <t xml:space="preserve">CUST68256</t>
  </si>
  <si>
    <t xml:space="preserve">TXN000452</t>
  </si>
  <si>
    <t xml:space="preserve">CUST84465</t>
  </si>
  <si>
    <t xml:space="preserve">2025-01-22</t>
  </si>
  <si>
    <t xml:space="preserve">TXN000454</t>
  </si>
  <si>
    <t xml:space="preserve">CUST69527</t>
  </si>
  <si>
    <t xml:space="preserve">TXN000455</t>
  </si>
  <si>
    <t xml:space="preserve">CUST21684</t>
  </si>
  <si>
    <t xml:space="preserve">TXN000456</t>
  </si>
  <si>
    <t xml:space="preserve">CUST22773</t>
  </si>
  <si>
    <t xml:space="preserve">2024-09-30</t>
  </si>
  <si>
    <t xml:space="preserve">TXN000457</t>
  </si>
  <si>
    <t xml:space="preserve">CUST37210</t>
  </si>
  <si>
    <t xml:space="preserve">TXN000458</t>
  </si>
  <si>
    <t xml:space="preserve">CUST49972</t>
  </si>
  <si>
    <t xml:space="preserve">TXN000461</t>
  </si>
  <si>
    <t xml:space="preserve">CUST79283</t>
  </si>
  <si>
    <t xml:space="preserve">TXN000462</t>
  </si>
  <si>
    <t xml:space="preserve">CUST43980</t>
  </si>
  <si>
    <t xml:space="preserve">2024-03-07</t>
  </si>
  <si>
    <t xml:space="preserve">TXN000463</t>
  </si>
  <si>
    <t xml:space="preserve">CUST38425</t>
  </si>
  <si>
    <t xml:space="preserve">TXN000464</t>
  </si>
  <si>
    <t xml:space="preserve">CUST87270</t>
  </si>
  <si>
    <t xml:space="preserve">TXN000466</t>
  </si>
  <si>
    <t xml:space="preserve">CUST26528</t>
  </si>
  <si>
    <t xml:space="preserve">TXN000467</t>
  </si>
  <si>
    <t xml:space="preserve">CUST53904</t>
  </si>
  <si>
    <t xml:space="preserve">2024-03-08</t>
  </si>
  <si>
    <t xml:space="preserve">TXN000469</t>
  </si>
  <si>
    <t xml:space="preserve">CUST35153</t>
  </si>
  <si>
    <t xml:space="preserve">2024-11-29</t>
  </si>
  <si>
    <t xml:space="preserve">TXN000470</t>
  </si>
  <si>
    <t xml:space="preserve">CUST65427</t>
  </si>
  <si>
    <t xml:space="preserve">TXN000472</t>
  </si>
  <si>
    <t xml:space="preserve">CUST69275</t>
  </si>
  <si>
    <t xml:space="preserve">2024-01-17</t>
  </si>
  <si>
    <t xml:space="preserve">TXN000475</t>
  </si>
  <si>
    <t xml:space="preserve">CUST91979</t>
  </si>
  <si>
    <t xml:space="preserve">2024-05-13</t>
  </si>
  <si>
    <t xml:space="preserve">TXN000478</t>
  </si>
  <si>
    <t xml:space="preserve">CUST57678</t>
  </si>
  <si>
    <t xml:space="preserve">TXN000479</t>
  </si>
  <si>
    <t xml:space="preserve">CUST57553</t>
  </si>
  <si>
    <t xml:space="preserve">TXN000481</t>
  </si>
  <si>
    <t xml:space="preserve">CUST60088</t>
  </si>
  <si>
    <t xml:space="preserve">2024-01-19</t>
  </si>
  <si>
    <t xml:space="preserve">TXN000482</t>
  </si>
  <si>
    <t xml:space="preserve">CUST34964</t>
  </si>
  <si>
    <t xml:space="preserve">2024-11-12</t>
  </si>
  <si>
    <t xml:space="preserve">TXN000484</t>
  </si>
  <si>
    <t xml:space="preserve">CUST20120</t>
  </si>
  <si>
    <t xml:space="preserve">TXN000499</t>
  </si>
  <si>
    <t xml:space="preserve">CUST65448</t>
  </si>
  <si>
    <t xml:space="preserve">TXN000500</t>
  </si>
  <si>
    <t xml:space="preserve">CUST48312</t>
  </si>
  <si>
    <t xml:space="preserve">TXN000502</t>
  </si>
  <si>
    <t xml:space="preserve">CUST64641</t>
  </si>
  <si>
    <t xml:space="preserve">2024-05-27</t>
  </si>
  <si>
    <t xml:space="preserve">TXN000504</t>
  </si>
  <si>
    <t xml:space="preserve">CUST33341</t>
  </si>
  <si>
    <t xml:space="preserve">2024-05-23</t>
  </si>
  <si>
    <t xml:space="preserve">TXN000505</t>
  </si>
  <si>
    <t xml:space="preserve">CUST65242</t>
  </si>
  <si>
    <t xml:space="preserve">TXN000507</t>
  </si>
  <si>
    <t xml:space="preserve">CUST48600</t>
  </si>
  <si>
    <t xml:space="preserve">TXN000510</t>
  </si>
  <si>
    <t xml:space="preserve">CUST80474</t>
  </si>
  <si>
    <t xml:space="preserve">TXN000511</t>
  </si>
  <si>
    <t xml:space="preserve">CUST11800</t>
  </si>
  <si>
    <t xml:space="preserve">TXN000512</t>
  </si>
  <si>
    <t xml:space="preserve">CUST39467</t>
  </si>
  <si>
    <t xml:space="preserve">2024-07-30</t>
  </si>
  <si>
    <t xml:space="preserve">TXN000513</t>
  </si>
  <si>
    <t xml:space="preserve">CUST31244</t>
  </si>
  <si>
    <t xml:space="preserve">TXN000514</t>
  </si>
  <si>
    <t xml:space="preserve">CUST41902</t>
  </si>
  <si>
    <t xml:space="preserve">2024-11-09</t>
  </si>
  <si>
    <t xml:space="preserve">TXN000515</t>
  </si>
  <si>
    <t xml:space="preserve">CUST28822</t>
  </si>
  <si>
    <t xml:space="preserve">TXN000516</t>
  </si>
  <si>
    <t xml:space="preserve">CUST84138</t>
  </si>
  <si>
    <t xml:space="preserve">TXN000517</t>
  </si>
  <si>
    <t xml:space="preserve">CUST44836</t>
  </si>
  <si>
    <t xml:space="preserve">2024-05-02</t>
  </si>
  <si>
    <t xml:space="preserve">TXN000520</t>
  </si>
  <si>
    <t xml:space="preserve">CUST28509</t>
  </si>
  <si>
    <t xml:space="preserve">TXN000522</t>
  </si>
  <si>
    <t xml:space="preserve">CUST26422</t>
  </si>
  <si>
    <t xml:space="preserve">TXN000528</t>
  </si>
  <si>
    <t xml:space="preserve">CUST69117</t>
  </si>
  <si>
    <t xml:space="preserve">TXN000529</t>
  </si>
  <si>
    <t xml:space="preserve">CUST61449</t>
  </si>
  <si>
    <t xml:space="preserve">TXN000531</t>
  </si>
  <si>
    <t xml:space="preserve">CUST21806</t>
  </si>
  <si>
    <t xml:space="preserve">TXN000532</t>
  </si>
  <si>
    <t xml:space="preserve">CUST37247</t>
  </si>
  <si>
    <t xml:space="preserve">2025-01-30</t>
  </si>
  <si>
    <t xml:space="preserve">TXN000537</t>
  </si>
  <si>
    <t xml:space="preserve">CUST62366</t>
  </si>
  <si>
    <t xml:space="preserve">2024-01-31</t>
  </si>
  <si>
    <t xml:space="preserve">TXN000540</t>
  </si>
  <si>
    <t xml:space="preserve">CUST83512</t>
  </si>
  <si>
    <t xml:space="preserve">2024-10-10</t>
  </si>
  <si>
    <t xml:space="preserve">TXN000541</t>
  </si>
  <si>
    <t xml:space="preserve">CUST71755</t>
  </si>
  <si>
    <t xml:space="preserve">TXN000542</t>
  </si>
  <si>
    <t xml:space="preserve">CUST11445</t>
  </si>
  <si>
    <t xml:space="preserve">TXN000544</t>
  </si>
  <si>
    <t xml:space="preserve">CUST24169</t>
  </si>
  <si>
    <t xml:space="preserve">TXN000545</t>
  </si>
  <si>
    <t xml:space="preserve">CUST43035</t>
  </si>
  <si>
    <t xml:space="preserve">2024-11-08</t>
  </si>
  <si>
    <t xml:space="preserve">ALERTS BY COUNTRY</t>
  </si>
  <si>
    <t xml:space="preserve">MONTHLY SUSPICIOUS TRANSACTION TREND</t>
  </si>
  <si>
    <t xml:space="preserve">TOP RISKY CUSTOMERS</t>
  </si>
  <si>
    <t xml:space="preserve">Alert Count</t>
  </si>
  <si>
    <t xml:space="preserve">Total Amount ($)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</si>
  <si>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</si>
  <si>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</si>
  <si>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</si>
  <si>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</si>
  <si>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</si>
  <si>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</si>
  <si>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</si>
  <si>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</si>
  <si>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</si>
  <si>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</si>
  <si>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</si>
  <si>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</si>
  <si>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</si>
  <si>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</si>
  <si>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</si>
  <si>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OVERVIEW</t>
  </si>
  <si>
    <t xml:space="preserve">This dashboard monitors suspicious transactions based on AML compliance rules.</t>
  </si>
  <si>
    <t xml:space="preserve">SHEETS</t>
  </si>
  <si>
    <t xml:space="preserve">1. Dashboard - Main overview with KPIs, charts, and top risky customers</t>
  </si>
  <si>
    <t xml:space="preserve">2. Alerts Data - Complete list of all alerts with filters (use as slicer)</t>
  </si>
  <si>
    <t xml:space="preserve">3. Summary Data - Aggregated data for pivot analysis</t>
  </si>
  <si>
    <t xml:space="preserve">4. Instructions - This sheet</t>
  </si>
  <si>
    <t xml:space="preserve">ALERT RULES</t>
  </si>
  <si>
    <t xml:space="preserve">• High-Risk Country - Transactions from Iran, Syria, North Korea, Afghanistan</t>
  </si>
  <si>
    <t xml:space="preserve">• Large Deposit &gt;10K - Deposits exceeding $10,000</t>
  </si>
  <si>
    <t xml:space="preserve">• Large Transfer &gt;5K - Transfers exceeding $5,000</t>
  </si>
  <si>
    <t xml:space="preserve">• Very Large Amount &gt;40K - Any transaction over $40,000</t>
  </si>
  <si>
    <t xml:space="preserve">HOW TO USE</t>
  </si>
  <si>
    <t xml:space="preserve">1. View Dashboard sheet for quick overview</t>
  </si>
  <si>
    <t xml:space="preserve">2. Use Alerts Data sheet to filter and analyze specific alerts</t>
  </si>
  <si>
    <t xml:space="preserve">3. Apply filters on any column in Alerts Data to drill down</t>
  </si>
  <si>
    <t xml:space="preserve">4. Summary Data provides pre-aggregated views</t>
  </si>
  <si>
    <t xml:space="preserve">• Total Alerts - All generated alerts</t>
  </si>
  <si>
    <t xml:space="preserve">• High Risk Alerts - Alerts marked as "High" severity</t>
  </si>
  <si>
    <t xml:space="preserve">• High-Risk Countries - Count of alerts from sanctioned countries</t>
  </si>
  <si>
    <t xml:space="preserve">• Large Transactions - Transactions over $40,000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</si>
</sst>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8"/>
      <color rgb="FF1F4E78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4E7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  <fill>
      <patternFill patternType="solid">
        <fgColor rgb="FFE7E6E6"/>
        <bgColor rgb="FFD9D9D9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Alerts by Rule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High-Risk Country</c:v>
                </c:pt>
                <c:pt idx="1">
                  <c:v>Large Deposit &gt;10K</c:v>
                </c:pt>
                <c:pt idx="2">
                  <c:v>Large Transfer &gt;5K</c:v>
                </c:pt>
                <c:pt idx="3">
                  <c:v>Very Large Amount &gt;40K</c:v>
                </c:pt>
              </c:strCache>
            </c:strRef>
          </c:cat>
          <c:val>
            <c:numRef>
              <c:f>Dashboard!$B$9:$B$12</c:f>
              <c:numCache>
                <c:formatCode>General</c:formatCode>
                <c:ptCount val="4"/>
                <c:pt idx="0">
                  <c:v>106</c:v>
                </c:pt>
                <c:pt idx="1">
                  <c:v>82</c:v>
                </c:pt>
                <c:pt idx="2">
                  <c:v>87</c:v>
                </c:pt>
                <c:pt idx="3">
                  <c:v>108</c:v>
                </c:pt>
              </c:numCache>
            </c:numRef>
          </c:val>
        </c:ser>
        <c:gapWidth val="150"/>
        <c:overlap val="0"/>
        <c:axId val="6167676"/>
        <c:axId val="44652540"/>
      </c:barChart>
      <c:catAx>
        <c:axId val="6167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Alert Rule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52540"/>
        <c:crosses val="autoZero"/>
        <c:auto val="1"/>
        <c:lblAlgn val="ctr"/>
        <c:lblOffset val="100"/>
        <c:noMultiLvlLbl val="0"/>
      </c:catAx>
      <c:valAx>
        <c:axId val="44652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Alerts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7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Countries by Alerts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Data'!B2</c:f>
              <c:strCache>
                <c:ptCount val="1"/>
                <c:pt idx="0">
                  <c:v>Alert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Data'!$A$3:$A$12</c:f>
              <c:strCache>
                <c:ptCount val="10"/>
                <c:pt idx="0">
                  <c:v>Afghanistan</c:v>
                </c:pt>
                <c:pt idx="1">
                  <c:v>North Korea</c:v>
                </c:pt>
                <c:pt idx="2">
                  <c:v>Iran</c:v>
                </c:pt>
                <c:pt idx="3">
                  <c:v>Syria</c:v>
                </c:pt>
                <c:pt idx="4">
                  <c:v>Australia</c:v>
                </c:pt>
                <c:pt idx="5">
                  <c:v>Brazil</c:v>
                </c:pt>
                <c:pt idx="6">
                  <c:v>Sweden</c:v>
                </c:pt>
                <c:pt idx="7">
                  <c:v>India</c:v>
                </c:pt>
                <c:pt idx="8">
                  <c:v>Germany</c:v>
                </c:pt>
                <c:pt idx="9">
                  <c:v>Spain</c:v>
                </c:pt>
              </c:strCache>
            </c:strRef>
          </c:cat>
          <c:val>
            <c:numRef>
              <c:f>'Summary Data'!$B$3:$B$12</c:f>
              <c:numCache>
                <c:formatCode>General</c:formatCode>
                <c:ptCount val="10"/>
                <c:pt idx="0">
                  <c:v>54</c:v>
                </c:pt>
                <c:pt idx="1">
                  <c:v>38</c:v>
                </c:pt>
                <c:pt idx="2">
                  <c:v>35</c:v>
                </c:pt>
                <c:pt idx="3">
                  <c:v>35</c:v>
                </c:pt>
                <c:pt idx="4">
                  <c:v>24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gapWidth val="150"/>
        <c:overlap val="0"/>
        <c:axId val="17226877"/>
        <c:axId val="74115861"/>
      </c:barChart>
      <c:catAx>
        <c:axId val="17226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15861"/>
        <c:crosses val="autoZero"/>
        <c:auto val="1"/>
        <c:lblAlgn val="ctr"/>
        <c:lblOffset val="100"/>
        <c:noMultiLvlLbl val="0"/>
      </c:catAx>
      <c:valAx>
        <c:axId val="74115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Alerts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26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Suspicious Transaction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Data'!F2</c:f>
              <c:strCache>
                <c:ptCount val="1"/>
                <c:pt idx="0">
                  <c:v>Alert 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Data'!$E$3:$E$16</c:f>
              <c:strCache>
                <c:ptCount val="1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</c:strCache>
            </c:strRef>
          </c:cat>
          <c:val>
            <c:numRef>
              <c:f>'Summary Data'!$F$3:$F$16</c:f>
              <c:numCache>
                <c:formatCode>General</c:formatCode>
                <c:ptCount val="14"/>
                <c:pt idx="0">
                  <c:v>35</c:v>
                </c:pt>
                <c:pt idx="1">
                  <c:v>37</c:v>
                </c:pt>
                <c:pt idx="2">
                  <c:v>38</c:v>
                </c:pt>
                <c:pt idx="3">
                  <c:v>31</c:v>
                </c:pt>
                <c:pt idx="4">
                  <c:v>26</c:v>
                </c:pt>
                <c:pt idx="5">
                  <c:v>24</c:v>
                </c:pt>
                <c:pt idx="6">
                  <c:v>23</c:v>
                </c:pt>
                <c:pt idx="7">
                  <c:v>22</c:v>
                </c:pt>
                <c:pt idx="8">
                  <c:v>34</c:v>
                </c:pt>
                <c:pt idx="9">
                  <c:v>19</c:v>
                </c:pt>
                <c:pt idx="10">
                  <c:v>40</c:v>
                </c:pt>
                <c:pt idx="11">
                  <c:v>20</c:v>
                </c:pt>
                <c:pt idx="12">
                  <c:v>29</c:v>
                </c:pt>
                <c:pt idx="13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808290"/>
        <c:axId val="49255997"/>
      </c:lineChart>
      <c:catAx>
        <c:axId val="66808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55997"/>
        <c:crosses val="autoZero"/>
        <c:auto val="1"/>
        <c:lblAlgn val="ctr"/>
        <c:lblOffset val="100"/>
        <c:noMultiLvlLbl val="0"/>
      </c:catAx>
      <c:valAx>
        <c:axId val="49255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Alert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08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160560</xdr:rowOff>
    </xdr:from>
    <xdr:to>
      <xdr:col>12</xdr:col>
      <xdr:colOff>15480</xdr:colOff>
      <xdr:row>31</xdr:row>
      <xdr:rowOff>140400</xdr:rowOff>
    </xdr:to>
    <xdr:graphicFrame>
      <xdr:nvGraphicFramePr>
        <xdr:cNvPr id="0" name="Chart 1"/>
        <xdr:cNvGraphicFramePr/>
      </xdr:nvGraphicFramePr>
      <xdr:xfrm>
        <a:off x="4065120" y="2913120"/>
        <a:ext cx="647928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160920</xdr:rowOff>
    </xdr:from>
    <xdr:to>
      <xdr:col>7</xdr:col>
      <xdr:colOff>173520</xdr:colOff>
      <xdr:row>49</xdr:row>
      <xdr:rowOff>98640</xdr:rowOff>
    </xdr:to>
    <xdr:graphicFrame>
      <xdr:nvGraphicFramePr>
        <xdr:cNvPr id="1" name="Chart 2"/>
        <xdr:cNvGraphicFramePr/>
      </xdr:nvGraphicFramePr>
      <xdr:xfrm>
        <a:off x="0" y="558072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160560</xdr:rowOff>
    </xdr:from>
    <xdr:to>
      <xdr:col>7</xdr:col>
      <xdr:colOff>173520</xdr:colOff>
      <xdr:row>66</xdr:row>
      <xdr:rowOff>98280</xdr:rowOff>
    </xdr:to>
    <xdr:graphicFrame>
      <xdr:nvGraphicFramePr>
        <xdr:cNvPr id="2" name="Chart 3"/>
        <xdr:cNvGraphicFramePr/>
      </xdr:nvGraphicFramePr>
      <xdr:xfrm>
        <a:off x="0" y="8818920"/>
        <a:ext cx="719928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lertsTable" displayName="AlertsTable" ref="A1:J384" headerRowCount="1" totalsRowCount="0" totalsRowShown="0">
  <autoFilter ref="A1:J384"/>
  <tableColumns count="10">
    <tableColumn id="1" name="Alert_ID"/>
    <tableColumn id="2" name="Txn_ID"/>
    <tableColumn id="3" name="Customer_ID"/>
    <tableColumn id="4" name="Txn_Date"/>
    <tableColumn id="5" name="Amount"/>
    <tableColumn id="6" name="Txn_Type"/>
    <tableColumn id="7" name="Country"/>
    <tableColumn id="8" name="Channel"/>
    <tableColumn id="9" name="Alert_Rule"/>
    <tableColumn id="10" name="Risk_Level"/>
  </tableColumns>
</table>
</file>

<file path=xl/tables/table2.xml><?xml version="1.0" encoding="utf-8"?>
<table xmlns="http://schemas.openxmlformats.org/spreadsheetml/2006/main" id="2" name="CountryAlerts" displayName="CountryAlerts" ref="A2:C17" headerRowCount="1" totalsRowCount="0" totalsRowShown="0">
  <autoFilter ref="A2:C17"/>
  <tableColumns count="3">
    <tableColumn id="1" name="Country"/>
    <tableColumn id="2" name="Alert Count"/>
    <tableColumn id="3" name="Total Amount ($)"/>
  </tableColumns>
</table>
</file>

<file path=xl/tables/table3.xml><?xml version="1.0" encoding="utf-8"?>
<table xmlns="http://schemas.openxmlformats.org/spreadsheetml/2006/main" id="3" name="MonthlyTrend" displayName="MonthlyTrend" ref="E2:F17" headerRowCount="1" totalsRowCount="0" totalsRowShown="0">
  <autoFilter ref="E2:F17"/>
  <tableColumns count="2">
    <tableColumn id="1" name="Month"/>
    <tableColumn id="2" name="Alert Count"/>
  </tableColumns>
</table>
</file>

<file path=xl/tables/table4.xml><?xml version="1.0" encoding="utf-8"?>
<table xmlns="http://schemas.openxmlformats.org/spreadsheetml/2006/main" id="4" name="TopCustomers" displayName="TopCustomers" ref="H2:K22" headerRowCount="1" totalsRowCount="0" totalsRowShown="0">
  <autoFilter ref="H2:K22"/>
  <tableColumns count="4">
    <tableColumn id="1" name="Customer ID"/>
    <tableColumn id="2" name="Total Alerts"/>
    <tableColumn id="3" name="High Risk Alerts"/>
    <tableColumn id="4" name="Total Amount 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2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1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7.2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4" t="s">
        <v>2</v>
      </c>
      <c r="C4" s="4" t="s">
        <v>3</v>
      </c>
      <c r="E4" s="4" t="s">
        <v>4</v>
      </c>
      <c r="G4" s="4" t="s">
        <v>5</v>
      </c>
    </row>
    <row r="5" customFormat="false" ht="34.5" hidden="false" customHeight="true" outlineLevel="0" collapsed="false">
      <c r="A5" s="5" t="n">
        <f aca="false">COUNTA('Alerts Data'!A2:A10000)</f>
        <v>383</v>
      </c>
      <c r="C5" s="5" t="n">
        <f aca="false">COUNTIF('Alerts Data'!J:J,"High")</f>
        <v>214</v>
      </c>
      <c r="E5" s="5" t="n">
        <f aca="false">COUNTIF('Alerts Data'!G:G,"Iran")+COUNTIF('Alerts Data'!G:G,"Syria")+COUNTIF('Alerts Data'!G:G,"North Korea")+COUNTIF('Alerts Data'!G:G,"Afghanistan")</f>
        <v>162</v>
      </c>
      <c r="G5" s="5" t="n">
        <f aca="false">COUNTIF('Alerts Data'!E:E,"&gt;40000")</f>
        <v>173</v>
      </c>
    </row>
    <row r="7" customFormat="false" ht="15" hidden="false" customHeight="true" outlineLevel="0" collapsed="false">
      <c r="A7" s="6" t="s">
        <v>6</v>
      </c>
      <c r="B7" s="6"/>
      <c r="C7" s="6"/>
    </row>
    <row r="8" customFormat="false" ht="15" hidden="false" customHeight="true" outlineLevel="0" collapsed="false">
      <c r="A8" s="7" t="s">
        <v>7</v>
      </c>
      <c r="B8" s="7" t="s">
        <v>8</v>
      </c>
      <c r="C8" s="7" t="s">
        <v>9</v>
      </c>
    </row>
    <row r="9" customFormat="false" ht="15" hidden="false" customHeight="true" outlineLevel="0" collapsed="false">
      <c r="A9" s="1" t="s">
        <v>10</v>
      </c>
      <c r="B9" s="1" t="n">
        <f aca="false">COUNTIF('Alerts Data'!I:I,"High-Risk Country")</f>
        <v>106</v>
      </c>
      <c r="C9" s="8" t="n">
        <f aca="false">B9/SUM($B$9:$B$12)</f>
        <v>0.276762402088773</v>
      </c>
    </row>
    <row r="10" customFormat="false" ht="15" hidden="false" customHeight="true" outlineLevel="0" collapsed="false">
      <c r="A10" s="1" t="s">
        <v>11</v>
      </c>
      <c r="B10" s="1" t="n">
        <f aca="false">COUNTIF('Alerts Data'!I:I,"Large Deposit &gt;10K")</f>
        <v>82</v>
      </c>
      <c r="C10" s="8" t="n">
        <f aca="false">B10/SUM($B$9:$B$12)</f>
        <v>0.214099216710183</v>
      </c>
    </row>
    <row r="11" customFormat="false" ht="15" hidden="false" customHeight="true" outlineLevel="0" collapsed="false">
      <c r="A11" s="1" t="s">
        <v>12</v>
      </c>
      <c r="B11" s="1" t="n">
        <f aca="false">COUNTIF('Alerts Data'!I:I,"Large Transfer &gt;5K")</f>
        <v>87</v>
      </c>
      <c r="C11" s="8" t="n">
        <f aca="false">B11/SUM($B$9:$B$12)</f>
        <v>0.227154046997389</v>
      </c>
    </row>
    <row r="12" customFormat="false" ht="15" hidden="false" customHeight="true" outlineLevel="0" collapsed="false">
      <c r="A12" s="1" t="s">
        <v>13</v>
      </c>
      <c r="B12" s="1" t="n">
        <f aca="false">COUNTIF('Alerts Data'!I:I,"Very Large Amount &gt;40K")</f>
        <v>108</v>
      </c>
      <c r="C12" s="8" t="n">
        <f aca="false">B12/SUM($B$9:$B$12)</f>
        <v>0.281984334203655</v>
      </c>
    </row>
    <row r="28" customFormat="false" ht="15" hidden="false" customHeight="true" outlineLevel="0" collapsed="false">
      <c r="E28" s="6" t="s">
        <v>14</v>
      </c>
      <c r="F28" s="6"/>
      <c r="G28" s="6"/>
      <c r="H28" s="6"/>
    </row>
    <row r="29" customFormat="false" ht="15" hidden="false" customHeight="true" outlineLevel="0" collapsed="false">
      <c r="E29" s="7" t="s">
        <v>15</v>
      </c>
      <c r="F29" s="7" t="s">
        <v>2</v>
      </c>
      <c r="G29" s="7" t="s">
        <v>16</v>
      </c>
      <c r="H29" s="7" t="s">
        <v>17</v>
      </c>
    </row>
    <row r="30" customFormat="false" ht="15" hidden="false" customHeight="true" outlineLevel="0" collapsed="false">
      <c r="E30" s="1" t="n">
        <f aca="false">'Summary Data'!H3</f>
        <v>0</v>
      </c>
      <c r="F30" s="1" t="n">
        <f aca="false">'Summary Data'!I3</f>
        <v>0</v>
      </c>
      <c r="G30" s="1" t="n">
        <f aca="false">'Summary Data'!J3</f>
        <v>0</v>
      </c>
      <c r="H30" s="1" t="n">
        <f aca="false">'Summary Data'!K3</f>
        <v>0</v>
      </c>
    </row>
    <row r="31" customFormat="false" ht="15" hidden="false" customHeight="true" outlineLevel="0" collapsed="false">
      <c r="E31" s="1" t="n">
        <f aca="false">'Summary Data'!H4</f>
        <v>0</v>
      </c>
      <c r="F31" s="1" t="n">
        <f aca="false">'Summary Data'!I4</f>
        <v>0</v>
      </c>
      <c r="G31" s="1" t="n">
        <f aca="false">'Summary Data'!J4</f>
        <v>0</v>
      </c>
      <c r="H31" s="1" t="n">
        <f aca="false">'Summary Data'!K4</f>
        <v>0</v>
      </c>
    </row>
    <row r="32" customFormat="false" ht="15" hidden="false" customHeight="true" outlineLevel="0" collapsed="false">
      <c r="E32" s="1" t="n">
        <f aca="false">'Summary Data'!H5</f>
        <v>0</v>
      </c>
      <c r="F32" s="1" t="n">
        <f aca="false">'Summary Data'!I5</f>
        <v>0</v>
      </c>
      <c r="G32" s="1" t="n">
        <f aca="false">'Summary Data'!J5</f>
        <v>0</v>
      </c>
      <c r="H32" s="1" t="n">
        <f aca="false">'Summary Data'!K5</f>
        <v>0</v>
      </c>
    </row>
    <row r="33" customFormat="false" ht="15" hidden="false" customHeight="true" outlineLevel="0" collapsed="false">
      <c r="E33" s="1" t="n">
        <f aca="false">'Summary Data'!H6</f>
        <v>0</v>
      </c>
      <c r="F33" s="1" t="n">
        <f aca="false">'Summary Data'!I6</f>
        <v>0</v>
      </c>
      <c r="G33" s="1" t="n">
        <f aca="false">'Summary Data'!J6</f>
        <v>0</v>
      </c>
      <c r="H33" s="1" t="n">
        <f aca="false">'Summary Data'!K6</f>
        <v>0</v>
      </c>
    </row>
    <row r="34" customFormat="false" ht="15" hidden="false" customHeight="true" outlineLevel="0" collapsed="false">
      <c r="E34" s="1" t="n">
        <f aca="false">'Summary Data'!H7</f>
        <v>0</v>
      </c>
      <c r="F34" s="1" t="n">
        <f aca="false">'Summary Data'!I7</f>
        <v>0</v>
      </c>
      <c r="G34" s="1" t="n">
        <f aca="false">'Summary Data'!J7</f>
        <v>0</v>
      </c>
      <c r="H34" s="1" t="n">
        <f aca="false">'Summary Data'!K7</f>
        <v>0</v>
      </c>
    </row>
    <row r="35" customFormat="false" ht="15" hidden="false" customHeight="true" outlineLevel="0" collapsed="false">
      <c r="E35" s="1" t="n">
        <f aca="false">'Summary Data'!H8</f>
        <v>0</v>
      </c>
      <c r="F35" s="1" t="n">
        <f aca="false">'Summary Data'!I8</f>
        <v>0</v>
      </c>
      <c r="G35" s="1" t="n">
        <f aca="false">'Summary Data'!J8</f>
        <v>0</v>
      </c>
      <c r="H35" s="1" t="n">
        <f aca="false">'Summary Data'!K8</f>
        <v>0</v>
      </c>
    </row>
    <row r="36" customFormat="false" ht="15" hidden="false" customHeight="true" outlineLevel="0" collapsed="false">
      <c r="E36" s="1" t="n">
        <f aca="false">'Summary Data'!H9</f>
        <v>0</v>
      </c>
      <c r="F36" s="1" t="n">
        <f aca="false">'Summary Data'!I9</f>
        <v>0</v>
      </c>
      <c r="G36" s="1" t="n">
        <f aca="false">'Summary Data'!J9</f>
        <v>0</v>
      </c>
      <c r="H36" s="1" t="n">
        <f aca="false">'Summary Data'!K9</f>
        <v>0</v>
      </c>
    </row>
    <row r="37" customFormat="false" ht="15" hidden="false" customHeight="true" outlineLevel="0" collapsed="false">
      <c r="E37" s="1" t="n">
        <f aca="false">'Summary Data'!H10</f>
        <v>0</v>
      </c>
      <c r="F37" s="1" t="n">
        <f aca="false">'Summary Data'!I10</f>
        <v>0</v>
      </c>
      <c r="G37" s="1" t="n">
        <f aca="false">'Summary Data'!J10</f>
        <v>0</v>
      </c>
      <c r="H37" s="1" t="n">
        <f aca="false">'Summary Data'!K10</f>
        <v>0</v>
      </c>
    </row>
    <row r="38" customFormat="false" ht="15" hidden="false" customHeight="true" outlineLevel="0" collapsed="false">
      <c r="E38" s="1" t="n">
        <f aca="false">'Summary Data'!H11</f>
        <v>0</v>
      </c>
      <c r="F38" s="1" t="n">
        <f aca="false">'Summary Data'!I11</f>
        <v>0</v>
      </c>
      <c r="G38" s="1" t="n">
        <f aca="false">'Summary Data'!J11</f>
        <v>0</v>
      </c>
      <c r="H38" s="1" t="n">
        <f aca="false">'Summary Data'!K11</f>
        <v>0</v>
      </c>
    </row>
    <row r="39" customFormat="false" ht="15" hidden="false" customHeight="true" outlineLevel="0" collapsed="false">
      <c r="E39" s="1" t="n">
        <f aca="false">'Summary Data'!H12</f>
        <v>0</v>
      </c>
      <c r="F39" s="1" t="n">
        <f aca="false">'Summary Data'!I12</f>
        <v>0</v>
      </c>
      <c r="G39" s="1" t="n">
        <f aca="false">'Summary Data'!J12</f>
        <v>0</v>
      </c>
      <c r="H39" s="1" t="n">
        <f aca="false">'Summary Data'!K12</f>
        <v>0</v>
      </c>
    </row>
  </sheetData>
  <mergeCells count="4">
    <mergeCell ref="A1:H1"/>
    <mergeCell ref="A3:H3"/>
    <mergeCell ref="A7:C7"/>
    <mergeCell ref="E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5" min="4" style="1" width="12"/>
    <col collapsed="false" customWidth="true" hidden="false" outlineLevel="0" max="8" min="6" style="1" width="15"/>
    <col collapsed="false" customWidth="true" hidden="false" outlineLevel="0" max="9" min="9" style="1" width="22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customFormat="false" ht="15" hidden="false" customHeight="true" outlineLevel="0" collapsed="false">
      <c r="A2" s="1" t="n">
        <v>1</v>
      </c>
      <c r="B2" s="1" t="s">
        <v>28</v>
      </c>
      <c r="C2" s="1" t="s">
        <v>29</v>
      </c>
      <c r="D2" s="1" t="s">
        <v>30</v>
      </c>
      <c r="E2" s="1" t="n">
        <v>47536.3</v>
      </c>
      <c r="F2" s="1" t="s">
        <v>31</v>
      </c>
      <c r="G2" s="1" t="s">
        <v>32</v>
      </c>
      <c r="H2" s="1" t="s">
        <v>33</v>
      </c>
      <c r="I2" s="1" t="s">
        <v>10</v>
      </c>
      <c r="J2" s="1" t="s">
        <v>34</v>
      </c>
    </row>
    <row r="3" customFormat="false" ht="15" hidden="false" customHeight="true" outlineLevel="0" collapsed="false">
      <c r="A3" s="1" t="n">
        <v>2</v>
      </c>
      <c r="B3" s="1" t="s">
        <v>28</v>
      </c>
      <c r="C3" s="1" t="s">
        <v>29</v>
      </c>
      <c r="D3" s="1" t="s">
        <v>30</v>
      </c>
      <c r="E3" s="1" t="n">
        <v>47536.3</v>
      </c>
      <c r="F3" s="1" t="s">
        <v>31</v>
      </c>
      <c r="G3" s="1" t="s">
        <v>32</v>
      </c>
      <c r="H3" s="1" t="s">
        <v>33</v>
      </c>
      <c r="I3" s="1" t="s">
        <v>12</v>
      </c>
      <c r="J3" s="1" t="s">
        <v>35</v>
      </c>
    </row>
    <row r="4" customFormat="false" ht="15" hidden="false" customHeight="true" outlineLevel="0" collapsed="false">
      <c r="A4" s="1" t="n">
        <v>3</v>
      </c>
      <c r="B4" s="1" t="s">
        <v>28</v>
      </c>
      <c r="C4" s="1" t="s">
        <v>29</v>
      </c>
      <c r="D4" s="1" t="s">
        <v>30</v>
      </c>
      <c r="E4" s="1" t="n">
        <v>47536.3</v>
      </c>
      <c r="F4" s="1" t="s">
        <v>31</v>
      </c>
      <c r="G4" s="1" t="s">
        <v>32</v>
      </c>
      <c r="H4" s="1" t="s">
        <v>33</v>
      </c>
      <c r="I4" s="1" t="s">
        <v>13</v>
      </c>
      <c r="J4" s="1" t="s">
        <v>34</v>
      </c>
    </row>
    <row r="5" customFormat="false" ht="15" hidden="false" customHeight="true" outlineLevel="0" collapsed="false">
      <c r="A5" s="1" t="n">
        <v>4</v>
      </c>
      <c r="B5" s="1" t="s">
        <v>36</v>
      </c>
      <c r="C5" s="1" t="s">
        <v>37</v>
      </c>
      <c r="D5" s="1" t="s">
        <v>38</v>
      </c>
      <c r="E5" s="1" t="n">
        <v>12686.47</v>
      </c>
      <c r="F5" s="1" t="s">
        <v>39</v>
      </c>
      <c r="G5" s="1" t="s">
        <v>40</v>
      </c>
      <c r="H5" s="1" t="s">
        <v>41</v>
      </c>
      <c r="I5" s="1" t="s">
        <v>11</v>
      </c>
      <c r="J5" s="1" t="s">
        <v>35</v>
      </c>
    </row>
    <row r="6" customFormat="false" ht="15" hidden="false" customHeight="true" outlineLevel="0" collapsed="false">
      <c r="A6" s="1" t="n">
        <v>5</v>
      </c>
      <c r="B6" s="1" t="s">
        <v>42</v>
      </c>
      <c r="C6" s="1" t="s">
        <v>43</v>
      </c>
      <c r="D6" s="1" t="s">
        <v>44</v>
      </c>
      <c r="E6" s="1" t="n">
        <v>30187.71</v>
      </c>
      <c r="F6" s="1" t="s">
        <v>39</v>
      </c>
      <c r="G6" s="1" t="s">
        <v>45</v>
      </c>
      <c r="H6" s="1" t="s">
        <v>33</v>
      </c>
      <c r="I6" s="1" t="s">
        <v>11</v>
      </c>
      <c r="J6" s="1" t="s">
        <v>35</v>
      </c>
    </row>
    <row r="7" customFormat="false" ht="15" hidden="false" customHeight="true" outlineLevel="0" collapsed="false">
      <c r="A7" s="1" t="n">
        <v>6</v>
      </c>
      <c r="B7" s="1" t="s">
        <v>46</v>
      </c>
      <c r="C7" s="1" t="s">
        <v>47</v>
      </c>
      <c r="D7" s="1" t="s">
        <v>48</v>
      </c>
      <c r="E7" s="1" t="n">
        <v>11706.48</v>
      </c>
      <c r="F7" s="1" t="s">
        <v>49</v>
      </c>
      <c r="G7" s="1" t="s">
        <v>50</v>
      </c>
      <c r="H7" s="1" t="s">
        <v>51</v>
      </c>
      <c r="I7" s="1" t="s">
        <v>10</v>
      </c>
      <c r="J7" s="1" t="s">
        <v>34</v>
      </c>
    </row>
    <row r="8" customFormat="false" ht="15" hidden="false" customHeight="true" outlineLevel="0" collapsed="false">
      <c r="A8" s="1" t="n">
        <v>7</v>
      </c>
      <c r="B8" s="1" t="s">
        <v>52</v>
      </c>
      <c r="C8" s="1" t="s">
        <v>53</v>
      </c>
      <c r="D8" s="1" t="s">
        <v>54</v>
      </c>
      <c r="E8" s="1" t="n">
        <v>4408.32</v>
      </c>
      <c r="F8" s="1" t="s">
        <v>55</v>
      </c>
      <c r="G8" s="1" t="s">
        <v>56</v>
      </c>
      <c r="H8" s="1" t="s">
        <v>57</v>
      </c>
      <c r="I8" s="1" t="s">
        <v>10</v>
      </c>
      <c r="J8" s="1" t="s">
        <v>34</v>
      </c>
    </row>
    <row r="9" customFormat="false" ht="15" hidden="false" customHeight="true" outlineLevel="0" collapsed="false">
      <c r="A9" s="1" t="n">
        <v>8</v>
      </c>
      <c r="B9" s="1" t="s">
        <v>58</v>
      </c>
      <c r="C9" s="1" t="s">
        <v>59</v>
      </c>
      <c r="D9" s="1" t="s">
        <v>60</v>
      </c>
      <c r="E9" s="1" t="n">
        <v>44755.42</v>
      </c>
      <c r="F9" s="1" t="s">
        <v>49</v>
      </c>
      <c r="G9" s="1" t="s">
        <v>50</v>
      </c>
      <c r="H9" s="1" t="s">
        <v>61</v>
      </c>
      <c r="I9" s="1" t="s">
        <v>10</v>
      </c>
      <c r="J9" s="1" t="s">
        <v>34</v>
      </c>
    </row>
    <row r="10" customFormat="false" ht="15" hidden="false" customHeight="true" outlineLevel="0" collapsed="false">
      <c r="A10" s="1" t="n">
        <v>9</v>
      </c>
      <c r="B10" s="1" t="s">
        <v>58</v>
      </c>
      <c r="C10" s="1" t="s">
        <v>59</v>
      </c>
      <c r="D10" s="1" t="s">
        <v>60</v>
      </c>
      <c r="E10" s="1" t="n">
        <v>44755.42</v>
      </c>
      <c r="F10" s="1" t="s">
        <v>49</v>
      </c>
      <c r="G10" s="1" t="s">
        <v>50</v>
      </c>
      <c r="H10" s="1" t="s">
        <v>61</v>
      </c>
      <c r="I10" s="1" t="s">
        <v>13</v>
      </c>
      <c r="J10" s="1" t="s">
        <v>34</v>
      </c>
    </row>
    <row r="11" customFormat="false" ht="15" hidden="false" customHeight="true" outlineLevel="0" collapsed="false">
      <c r="A11" s="1" t="n">
        <v>10</v>
      </c>
      <c r="B11" s="1" t="s">
        <v>62</v>
      </c>
      <c r="C11" s="1" t="s">
        <v>63</v>
      </c>
      <c r="D11" s="1" t="s">
        <v>64</v>
      </c>
      <c r="E11" s="1" t="n">
        <v>5304.36</v>
      </c>
      <c r="F11" s="1" t="s">
        <v>31</v>
      </c>
      <c r="G11" s="1" t="s">
        <v>40</v>
      </c>
      <c r="H11" s="1" t="s">
        <v>65</v>
      </c>
      <c r="I11" s="1" t="s">
        <v>12</v>
      </c>
      <c r="J11" s="1" t="s">
        <v>35</v>
      </c>
    </row>
    <row r="12" customFormat="false" ht="15" hidden="false" customHeight="true" outlineLevel="0" collapsed="false">
      <c r="A12" s="1" t="n">
        <v>11</v>
      </c>
      <c r="B12" s="1" t="s">
        <v>66</v>
      </c>
      <c r="C12" s="1" t="s">
        <v>67</v>
      </c>
      <c r="D12" s="1" t="s">
        <v>68</v>
      </c>
      <c r="E12" s="1" t="n">
        <v>36597.53</v>
      </c>
      <c r="F12" s="1" t="s">
        <v>49</v>
      </c>
      <c r="G12" s="1" t="s">
        <v>32</v>
      </c>
      <c r="H12" s="1" t="s">
        <v>51</v>
      </c>
      <c r="I12" s="1" t="s">
        <v>10</v>
      </c>
      <c r="J12" s="1" t="s">
        <v>34</v>
      </c>
    </row>
    <row r="13" customFormat="false" ht="15" hidden="false" customHeight="true" outlineLevel="0" collapsed="false">
      <c r="A13" s="1" t="n">
        <v>12</v>
      </c>
      <c r="B13" s="1" t="s">
        <v>69</v>
      </c>
      <c r="C13" s="1" t="s">
        <v>70</v>
      </c>
      <c r="D13" s="1" t="s">
        <v>71</v>
      </c>
      <c r="E13" s="1" t="n">
        <v>44612.7</v>
      </c>
      <c r="F13" s="1" t="s">
        <v>49</v>
      </c>
      <c r="G13" s="1" t="s">
        <v>72</v>
      </c>
      <c r="H13" s="1" t="s">
        <v>33</v>
      </c>
      <c r="I13" s="1" t="s">
        <v>13</v>
      </c>
      <c r="J13" s="1" t="s">
        <v>34</v>
      </c>
    </row>
    <row r="14" customFormat="false" ht="15" hidden="false" customHeight="true" outlineLevel="0" collapsed="false">
      <c r="A14" s="1" t="n">
        <v>13</v>
      </c>
      <c r="B14" s="1" t="s">
        <v>73</v>
      </c>
      <c r="C14" s="1" t="s">
        <v>74</v>
      </c>
      <c r="D14" s="1" t="s">
        <v>75</v>
      </c>
      <c r="E14" s="1" t="n">
        <v>48596.61</v>
      </c>
      <c r="F14" s="1" t="s">
        <v>49</v>
      </c>
      <c r="G14" s="1" t="s">
        <v>45</v>
      </c>
      <c r="H14" s="1" t="s">
        <v>51</v>
      </c>
      <c r="I14" s="1" t="s">
        <v>13</v>
      </c>
      <c r="J14" s="1" t="s">
        <v>34</v>
      </c>
    </row>
    <row r="15" customFormat="false" ht="15" hidden="false" customHeight="true" outlineLevel="0" collapsed="false">
      <c r="A15" s="1" t="n">
        <v>14</v>
      </c>
      <c r="B15" s="1" t="s">
        <v>76</v>
      </c>
      <c r="C15" s="1" t="s">
        <v>77</v>
      </c>
      <c r="D15" s="1" t="s">
        <v>78</v>
      </c>
      <c r="E15" s="1" t="n">
        <v>44912.25</v>
      </c>
      <c r="F15" s="1" t="s">
        <v>79</v>
      </c>
      <c r="G15" s="1" t="s">
        <v>80</v>
      </c>
      <c r="H15" s="1" t="s">
        <v>65</v>
      </c>
      <c r="I15" s="1" t="s">
        <v>13</v>
      </c>
      <c r="J15" s="1" t="s">
        <v>34</v>
      </c>
    </row>
    <row r="16" customFormat="false" ht="15" hidden="false" customHeight="true" outlineLevel="0" collapsed="false">
      <c r="A16" s="1" t="n">
        <v>15</v>
      </c>
      <c r="B16" s="1" t="s">
        <v>81</v>
      </c>
      <c r="C16" s="1" t="s">
        <v>82</v>
      </c>
      <c r="D16" s="1" t="s">
        <v>83</v>
      </c>
      <c r="E16" s="1" t="n">
        <v>19572.5</v>
      </c>
      <c r="F16" s="1" t="s">
        <v>31</v>
      </c>
      <c r="G16" s="1" t="s">
        <v>84</v>
      </c>
      <c r="H16" s="1" t="s">
        <v>65</v>
      </c>
      <c r="I16" s="1" t="s">
        <v>10</v>
      </c>
      <c r="J16" s="1" t="s">
        <v>34</v>
      </c>
    </row>
    <row r="17" customFormat="false" ht="15" hidden="false" customHeight="true" outlineLevel="0" collapsed="false">
      <c r="A17" s="1" t="n">
        <v>16</v>
      </c>
      <c r="B17" s="1" t="s">
        <v>81</v>
      </c>
      <c r="C17" s="1" t="s">
        <v>82</v>
      </c>
      <c r="D17" s="1" t="s">
        <v>83</v>
      </c>
      <c r="E17" s="1" t="n">
        <v>19572.5</v>
      </c>
      <c r="F17" s="1" t="s">
        <v>31</v>
      </c>
      <c r="G17" s="1" t="s">
        <v>84</v>
      </c>
      <c r="H17" s="1" t="s">
        <v>65</v>
      </c>
      <c r="I17" s="1" t="s">
        <v>12</v>
      </c>
      <c r="J17" s="1" t="s">
        <v>35</v>
      </c>
    </row>
    <row r="18" customFormat="false" ht="15" hidden="false" customHeight="true" outlineLevel="0" collapsed="false">
      <c r="A18" s="1" t="n">
        <v>17</v>
      </c>
      <c r="B18" s="1" t="s">
        <v>85</v>
      </c>
      <c r="C18" s="1" t="s">
        <v>86</v>
      </c>
      <c r="D18" s="1" t="s">
        <v>87</v>
      </c>
      <c r="E18" s="1" t="n">
        <v>32067.06</v>
      </c>
      <c r="F18" s="1" t="s">
        <v>79</v>
      </c>
      <c r="G18" s="1" t="s">
        <v>32</v>
      </c>
      <c r="H18" s="1" t="s">
        <v>33</v>
      </c>
      <c r="I18" s="1" t="s">
        <v>10</v>
      </c>
      <c r="J18" s="1" t="s">
        <v>34</v>
      </c>
    </row>
    <row r="19" customFormat="false" ht="15" hidden="false" customHeight="true" outlineLevel="0" collapsed="false">
      <c r="A19" s="1" t="n">
        <v>18</v>
      </c>
      <c r="B19" s="1" t="s">
        <v>88</v>
      </c>
      <c r="C19" s="1" t="s">
        <v>89</v>
      </c>
      <c r="D19" s="1" t="s">
        <v>90</v>
      </c>
      <c r="E19" s="1" t="n">
        <v>28516.53</v>
      </c>
      <c r="F19" s="1" t="s">
        <v>91</v>
      </c>
      <c r="G19" s="1" t="s">
        <v>84</v>
      </c>
      <c r="H19" s="1" t="s">
        <v>61</v>
      </c>
      <c r="I19" s="1" t="s">
        <v>10</v>
      </c>
      <c r="J19" s="1" t="s">
        <v>34</v>
      </c>
    </row>
    <row r="20" customFormat="false" ht="15" hidden="false" customHeight="true" outlineLevel="0" collapsed="false">
      <c r="A20" s="1" t="n">
        <v>19</v>
      </c>
      <c r="B20" s="1" t="s">
        <v>92</v>
      </c>
      <c r="C20" s="1" t="s">
        <v>93</v>
      </c>
      <c r="D20" s="1" t="s">
        <v>94</v>
      </c>
      <c r="E20" s="1" t="n">
        <v>21329.72</v>
      </c>
      <c r="F20" s="1" t="s">
        <v>39</v>
      </c>
      <c r="G20" s="1" t="s">
        <v>95</v>
      </c>
      <c r="H20" s="1" t="s">
        <v>41</v>
      </c>
      <c r="I20" s="1" t="s">
        <v>11</v>
      </c>
      <c r="J20" s="1" t="s">
        <v>35</v>
      </c>
    </row>
    <row r="21" customFormat="false" ht="15" hidden="false" customHeight="true" outlineLevel="0" collapsed="false">
      <c r="A21" s="1" t="n">
        <v>20</v>
      </c>
      <c r="B21" s="1" t="s">
        <v>96</v>
      </c>
      <c r="C21" s="1" t="s">
        <v>97</v>
      </c>
      <c r="D21" s="1" t="s">
        <v>98</v>
      </c>
      <c r="E21" s="1" t="n">
        <v>41433.68</v>
      </c>
      <c r="F21" s="1" t="s">
        <v>55</v>
      </c>
      <c r="G21" s="1" t="s">
        <v>45</v>
      </c>
      <c r="H21" s="1" t="s">
        <v>51</v>
      </c>
      <c r="I21" s="1" t="s">
        <v>13</v>
      </c>
      <c r="J21" s="1" t="s">
        <v>34</v>
      </c>
    </row>
    <row r="22" customFormat="false" ht="15" hidden="false" customHeight="true" outlineLevel="0" collapsed="false">
      <c r="A22" s="1" t="n">
        <v>21</v>
      </c>
      <c r="B22" s="1" t="s">
        <v>99</v>
      </c>
      <c r="C22" s="1" t="s">
        <v>100</v>
      </c>
      <c r="D22" s="1" t="s">
        <v>101</v>
      </c>
      <c r="E22" s="1" t="n">
        <v>28460.58</v>
      </c>
      <c r="F22" s="1" t="s">
        <v>39</v>
      </c>
      <c r="G22" s="1" t="s">
        <v>95</v>
      </c>
      <c r="H22" s="1" t="s">
        <v>57</v>
      </c>
      <c r="I22" s="1" t="s">
        <v>11</v>
      </c>
      <c r="J22" s="1" t="s">
        <v>35</v>
      </c>
    </row>
    <row r="23" customFormat="false" ht="15" hidden="false" customHeight="true" outlineLevel="0" collapsed="false">
      <c r="A23" s="1" t="n">
        <v>22</v>
      </c>
      <c r="B23" s="1" t="s">
        <v>102</v>
      </c>
      <c r="C23" s="1" t="s">
        <v>103</v>
      </c>
      <c r="D23" s="1" t="s">
        <v>104</v>
      </c>
      <c r="E23" s="1" t="n">
        <v>46773.68</v>
      </c>
      <c r="F23" s="1" t="s">
        <v>49</v>
      </c>
      <c r="G23" s="1" t="s">
        <v>50</v>
      </c>
      <c r="H23" s="1" t="s">
        <v>61</v>
      </c>
      <c r="I23" s="1" t="s">
        <v>10</v>
      </c>
      <c r="J23" s="1" t="s">
        <v>34</v>
      </c>
    </row>
    <row r="24" customFormat="false" ht="15" hidden="false" customHeight="true" outlineLevel="0" collapsed="false">
      <c r="A24" s="1" t="n">
        <v>23</v>
      </c>
      <c r="B24" s="1" t="s">
        <v>102</v>
      </c>
      <c r="C24" s="1" t="s">
        <v>103</v>
      </c>
      <c r="D24" s="1" t="s">
        <v>104</v>
      </c>
      <c r="E24" s="1" t="n">
        <v>46773.68</v>
      </c>
      <c r="F24" s="1" t="s">
        <v>49</v>
      </c>
      <c r="G24" s="1" t="s">
        <v>50</v>
      </c>
      <c r="H24" s="1" t="s">
        <v>61</v>
      </c>
      <c r="I24" s="1" t="s">
        <v>13</v>
      </c>
      <c r="J24" s="1" t="s">
        <v>34</v>
      </c>
    </row>
    <row r="25" customFormat="false" ht="15" hidden="false" customHeight="true" outlineLevel="0" collapsed="false">
      <c r="A25" s="1" t="n">
        <v>24</v>
      </c>
      <c r="B25" s="1" t="s">
        <v>105</v>
      </c>
      <c r="C25" s="1" t="s">
        <v>106</v>
      </c>
      <c r="D25" s="1" t="s">
        <v>107</v>
      </c>
      <c r="E25" s="1" t="n">
        <v>22253.45</v>
      </c>
      <c r="F25" s="1" t="s">
        <v>79</v>
      </c>
      <c r="G25" s="1" t="s">
        <v>32</v>
      </c>
      <c r="H25" s="1" t="s">
        <v>61</v>
      </c>
      <c r="I25" s="1" t="s">
        <v>10</v>
      </c>
      <c r="J25" s="1" t="s">
        <v>34</v>
      </c>
    </row>
    <row r="26" customFormat="false" ht="15" hidden="false" customHeight="true" outlineLevel="0" collapsed="false">
      <c r="A26" s="1" t="n">
        <v>25</v>
      </c>
      <c r="B26" s="1" t="s">
        <v>108</v>
      </c>
      <c r="C26" s="1" t="s">
        <v>109</v>
      </c>
      <c r="D26" s="1" t="s">
        <v>110</v>
      </c>
      <c r="E26" s="1" t="n">
        <v>46403.98</v>
      </c>
      <c r="F26" s="1" t="s">
        <v>79</v>
      </c>
      <c r="G26" s="1" t="s">
        <v>95</v>
      </c>
      <c r="H26" s="1" t="s">
        <v>41</v>
      </c>
      <c r="I26" s="1" t="s">
        <v>13</v>
      </c>
      <c r="J26" s="1" t="s">
        <v>34</v>
      </c>
    </row>
    <row r="27" customFormat="false" ht="15" hidden="false" customHeight="true" outlineLevel="0" collapsed="false">
      <c r="A27" s="1" t="n">
        <v>26</v>
      </c>
      <c r="B27" s="1" t="s">
        <v>111</v>
      </c>
      <c r="C27" s="1" t="s">
        <v>112</v>
      </c>
      <c r="D27" s="1" t="s">
        <v>113</v>
      </c>
      <c r="E27" s="1" t="n">
        <v>30915.86</v>
      </c>
      <c r="F27" s="1" t="s">
        <v>31</v>
      </c>
      <c r="G27" s="1" t="s">
        <v>114</v>
      </c>
      <c r="H27" s="1" t="s">
        <v>57</v>
      </c>
      <c r="I27" s="1" t="s">
        <v>12</v>
      </c>
      <c r="J27" s="1" t="s">
        <v>35</v>
      </c>
    </row>
    <row r="28" customFormat="false" ht="15" hidden="false" customHeight="true" outlineLevel="0" collapsed="false">
      <c r="A28" s="1" t="n">
        <v>27</v>
      </c>
      <c r="B28" s="1" t="s">
        <v>115</v>
      </c>
      <c r="C28" s="1" t="s">
        <v>116</v>
      </c>
      <c r="D28" s="1" t="s">
        <v>117</v>
      </c>
      <c r="E28" s="1" t="n">
        <v>31992.65</v>
      </c>
      <c r="F28" s="1" t="s">
        <v>91</v>
      </c>
      <c r="G28" s="1" t="s">
        <v>56</v>
      </c>
      <c r="H28" s="1" t="s">
        <v>41</v>
      </c>
      <c r="I28" s="1" t="s">
        <v>10</v>
      </c>
      <c r="J28" s="1" t="s">
        <v>34</v>
      </c>
    </row>
    <row r="29" customFormat="false" ht="15" hidden="false" customHeight="true" outlineLevel="0" collapsed="false">
      <c r="A29" s="1" t="n">
        <v>28</v>
      </c>
      <c r="B29" s="1" t="s">
        <v>118</v>
      </c>
      <c r="C29" s="1" t="s">
        <v>119</v>
      </c>
      <c r="D29" s="1" t="s">
        <v>120</v>
      </c>
      <c r="E29" s="1" t="n">
        <v>44571.94</v>
      </c>
      <c r="F29" s="1" t="s">
        <v>31</v>
      </c>
      <c r="G29" s="1" t="s">
        <v>80</v>
      </c>
      <c r="H29" s="1" t="s">
        <v>61</v>
      </c>
      <c r="I29" s="1" t="s">
        <v>12</v>
      </c>
      <c r="J29" s="1" t="s">
        <v>35</v>
      </c>
    </row>
    <row r="30" customFormat="false" ht="15" hidden="false" customHeight="true" outlineLevel="0" collapsed="false">
      <c r="A30" s="1" t="n">
        <v>29</v>
      </c>
      <c r="B30" s="1" t="s">
        <v>118</v>
      </c>
      <c r="C30" s="1" t="s">
        <v>119</v>
      </c>
      <c r="D30" s="1" t="s">
        <v>120</v>
      </c>
      <c r="E30" s="1" t="n">
        <v>44571.94</v>
      </c>
      <c r="F30" s="1" t="s">
        <v>31</v>
      </c>
      <c r="G30" s="1" t="s">
        <v>80</v>
      </c>
      <c r="H30" s="1" t="s">
        <v>61</v>
      </c>
      <c r="I30" s="1" t="s">
        <v>13</v>
      </c>
      <c r="J30" s="1" t="s">
        <v>34</v>
      </c>
    </row>
    <row r="31" customFormat="false" ht="15" hidden="false" customHeight="true" outlineLevel="0" collapsed="false">
      <c r="A31" s="1" t="n">
        <v>30</v>
      </c>
      <c r="B31" s="1" t="s">
        <v>121</v>
      </c>
      <c r="C31" s="1" t="s">
        <v>122</v>
      </c>
      <c r="D31" s="1" t="s">
        <v>123</v>
      </c>
      <c r="E31" s="1" t="n">
        <v>41564.04</v>
      </c>
      <c r="F31" s="1" t="s">
        <v>49</v>
      </c>
      <c r="G31" s="1" t="s">
        <v>124</v>
      </c>
      <c r="H31" s="1" t="s">
        <v>51</v>
      </c>
      <c r="I31" s="1" t="s">
        <v>13</v>
      </c>
      <c r="J31" s="1" t="s">
        <v>34</v>
      </c>
    </row>
    <row r="32" customFormat="false" ht="15" hidden="false" customHeight="true" outlineLevel="0" collapsed="false">
      <c r="A32" s="1" t="n">
        <v>31</v>
      </c>
      <c r="B32" s="1" t="s">
        <v>125</v>
      </c>
      <c r="C32" s="1" t="s">
        <v>126</v>
      </c>
      <c r="D32" s="1" t="s">
        <v>127</v>
      </c>
      <c r="E32" s="1" t="n">
        <v>35849.04</v>
      </c>
      <c r="F32" s="1" t="s">
        <v>31</v>
      </c>
      <c r="G32" s="1" t="s">
        <v>128</v>
      </c>
      <c r="H32" s="1" t="s">
        <v>41</v>
      </c>
      <c r="I32" s="1" t="s">
        <v>12</v>
      </c>
      <c r="J32" s="1" t="s">
        <v>35</v>
      </c>
    </row>
    <row r="33" customFormat="false" ht="15" hidden="false" customHeight="true" outlineLevel="0" collapsed="false">
      <c r="A33" s="1" t="n">
        <v>32</v>
      </c>
      <c r="B33" s="1" t="s">
        <v>129</v>
      </c>
      <c r="C33" s="1" t="s">
        <v>130</v>
      </c>
      <c r="D33" s="1" t="s">
        <v>131</v>
      </c>
      <c r="E33" s="1" t="n">
        <v>41957.62</v>
      </c>
      <c r="F33" s="1" t="s">
        <v>49</v>
      </c>
      <c r="G33" s="1" t="s">
        <v>124</v>
      </c>
      <c r="H33" s="1" t="s">
        <v>33</v>
      </c>
      <c r="I33" s="1" t="s">
        <v>13</v>
      </c>
      <c r="J33" s="1" t="s">
        <v>34</v>
      </c>
    </row>
    <row r="34" customFormat="false" ht="15" hidden="false" customHeight="true" outlineLevel="0" collapsed="false">
      <c r="A34" s="1" t="n">
        <v>33</v>
      </c>
      <c r="B34" s="1" t="s">
        <v>132</v>
      </c>
      <c r="C34" s="1" t="s">
        <v>133</v>
      </c>
      <c r="D34" s="1" t="s">
        <v>134</v>
      </c>
      <c r="E34" s="1" t="n">
        <v>21422.13</v>
      </c>
      <c r="F34" s="1" t="s">
        <v>39</v>
      </c>
      <c r="G34" s="1" t="s">
        <v>135</v>
      </c>
      <c r="H34" s="1" t="s">
        <v>65</v>
      </c>
      <c r="I34" s="1" t="s">
        <v>11</v>
      </c>
      <c r="J34" s="1" t="s">
        <v>35</v>
      </c>
    </row>
    <row r="35" customFormat="false" ht="15" hidden="false" customHeight="true" outlineLevel="0" collapsed="false">
      <c r="A35" s="1" t="n">
        <v>34</v>
      </c>
      <c r="B35" s="1" t="s">
        <v>136</v>
      </c>
      <c r="C35" s="1" t="s">
        <v>137</v>
      </c>
      <c r="D35" s="1" t="s">
        <v>138</v>
      </c>
      <c r="E35" s="1" t="n">
        <v>39414.98</v>
      </c>
      <c r="F35" s="1" t="s">
        <v>31</v>
      </c>
      <c r="G35" s="1" t="s">
        <v>124</v>
      </c>
      <c r="H35" s="1" t="s">
        <v>41</v>
      </c>
      <c r="I35" s="1" t="s">
        <v>12</v>
      </c>
      <c r="J35" s="1" t="s">
        <v>35</v>
      </c>
    </row>
    <row r="36" customFormat="false" ht="15" hidden="false" customHeight="true" outlineLevel="0" collapsed="false">
      <c r="A36" s="1" t="n">
        <v>35</v>
      </c>
      <c r="B36" s="1" t="s">
        <v>139</v>
      </c>
      <c r="C36" s="1" t="s">
        <v>140</v>
      </c>
      <c r="D36" s="1" t="s">
        <v>141</v>
      </c>
      <c r="E36" s="1" t="n">
        <v>18364.35</v>
      </c>
      <c r="F36" s="1" t="s">
        <v>31</v>
      </c>
      <c r="G36" s="1" t="s">
        <v>56</v>
      </c>
      <c r="H36" s="1" t="s">
        <v>41</v>
      </c>
      <c r="I36" s="1" t="s">
        <v>10</v>
      </c>
      <c r="J36" s="1" t="s">
        <v>34</v>
      </c>
    </row>
    <row r="37" customFormat="false" ht="15" hidden="false" customHeight="true" outlineLevel="0" collapsed="false">
      <c r="A37" s="1" t="n">
        <v>36</v>
      </c>
      <c r="B37" s="1" t="s">
        <v>139</v>
      </c>
      <c r="C37" s="1" t="s">
        <v>140</v>
      </c>
      <c r="D37" s="1" t="s">
        <v>141</v>
      </c>
      <c r="E37" s="1" t="n">
        <v>18364.35</v>
      </c>
      <c r="F37" s="1" t="s">
        <v>31</v>
      </c>
      <c r="G37" s="1" t="s">
        <v>56</v>
      </c>
      <c r="H37" s="1" t="s">
        <v>41</v>
      </c>
      <c r="I37" s="1" t="s">
        <v>12</v>
      </c>
      <c r="J37" s="1" t="s">
        <v>35</v>
      </c>
    </row>
    <row r="38" customFormat="false" ht="15" hidden="false" customHeight="true" outlineLevel="0" collapsed="false">
      <c r="A38" s="1" t="n">
        <v>37</v>
      </c>
      <c r="B38" s="1" t="s">
        <v>142</v>
      </c>
      <c r="C38" s="1" t="s">
        <v>143</v>
      </c>
      <c r="D38" s="1" t="s">
        <v>144</v>
      </c>
      <c r="E38" s="1" t="n">
        <v>40842.43</v>
      </c>
      <c r="F38" s="1" t="s">
        <v>39</v>
      </c>
      <c r="G38" s="1" t="s">
        <v>124</v>
      </c>
      <c r="H38" s="1" t="s">
        <v>57</v>
      </c>
      <c r="I38" s="1" t="s">
        <v>11</v>
      </c>
      <c r="J38" s="1" t="s">
        <v>35</v>
      </c>
    </row>
    <row r="39" customFormat="false" ht="15" hidden="false" customHeight="true" outlineLevel="0" collapsed="false">
      <c r="A39" s="1" t="n">
        <v>38</v>
      </c>
      <c r="B39" s="1" t="s">
        <v>142</v>
      </c>
      <c r="C39" s="1" t="s">
        <v>143</v>
      </c>
      <c r="D39" s="1" t="s">
        <v>144</v>
      </c>
      <c r="E39" s="1" t="n">
        <v>40842.43</v>
      </c>
      <c r="F39" s="1" t="s">
        <v>39</v>
      </c>
      <c r="G39" s="1" t="s">
        <v>124</v>
      </c>
      <c r="H39" s="1" t="s">
        <v>57</v>
      </c>
      <c r="I39" s="1" t="s">
        <v>13</v>
      </c>
      <c r="J39" s="1" t="s">
        <v>34</v>
      </c>
    </row>
    <row r="40" customFormat="false" ht="15" hidden="false" customHeight="true" outlineLevel="0" collapsed="false">
      <c r="A40" s="1" t="n">
        <v>39</v>
      </c>
      <c r="B40" s="1" t="s">
        <v>145</v>
      </c>
      <c r="C40" s="1" t="s">
        <v>146</v>
      </c>
      <c r="D40" s="1" t="s">
        <v>147</v>
      </c>
      <c r="E40" s="1" t="n">
        <v>43681.63</v>
      </c>
      <c r="F40" s="1" t="s">
        <v>79</v>
      </c>
      <c r="G40" s="1" t="s">
        <v>124</v>
      </c>
      <c r="H40" s="1" t="s">
        <v>61</v>
      </c>
      <c r="I40" s="1" t="s">
        <v>13</v>
      </c>
      <c r="J40" s="1" t="s">
        <v>34</v>
      </c>
    </row>
    <row r="41" customFormat="false" ht="15" hidden="false" customHeight="true" outlineLevel="0" collapsed="false">
      <c r="A41" s="1" t="n">
        <v>40</v>
      </c>
      <c r="B41" s="1" t="s">
        <v>148</v>
      </c>
      <c r="C41" s="1" t="s">
        <v>149</v>
      </c>
      <c r="D41" s="1" t="s">
        <v>150</v>
      </c>
      <c r="E41" s="1" t="n">
        <v>45652.7</v>
      </c>
      <c r="F41" s="1" t="s">
        <v>55</v>
      </c>
      <c r="G41" s="1" t="s">
        <v>56</v>
      </c>
      <c r="H41" s="1" t="s">
        <v>33</v>
      </c>
      <c r="I41" s="1" t="s">
        <v>10</v>
      </c>
      <c r="J41" s="1" t="s">
        <v>34</v>
      </c>
    </row>
    <row r="42" customFormat="false" ht="15" hidden="false" customHeight="true" outlineLevel="0" collapsed="false">
      <c r="A42" s="1" t="n">
        <v>41</v>
      </c>
      <c r="B42" s="1" t="s">
        <v>148</v>
      </c>
      <c r="C42" s="1" t="s">
        <v>149</v>
      </c>
      <c r="D42" s="1" t="s">
        <v>150</v>
      </c>
      <c r="E42" s="1" t="n">
        <v>45652.7</v>
      </c>
      <c r="F42" s="1" t="s">
        <v>55</v>
      </c>
      <c r="G42" s="1" t="s">
        <v>56</v>
      </c>
      <c r="H42" s="1" t="s">
        <v>33</v>
      </c>
      <c r="I42" s="1" t="s">
        <v>13</v>
      </c>
      <c r="J42" s="1" t="s">
        <v>34</v>
      </c>
    </row>
    <row r="43" customFormat="false" ht="15" hidden="false" customHeight="true" outlineLevel="0" collapsed="false">
      <c r="A43" s="1" t="n">
        <v>42</v>
      </c>
      <c r="B43" s="1" t="s">
        <v>151</v>
      </c>
      <c r="C43" s="1" t="s">
        <v>152</v>
      </c>
      <c r="D43" s="1" t="s">
        <v>153</v>
      </c>
      <c r="E43" s="1" t="n">
        <v>10024.26</v>
      </c>
      <c r="F43" s="1" t="s">
        <v>39</v>
      </c>
      <c r="G43" s="1" t="s">
        <v>80</v>
      </c>
      <c r="H43" s="1" t="s">
        <v>61</v>
      </c>
      <c r="I43" s="1" t="s">
        <v>11</v>
      </c>
      <c r="J43" s="1" t="s">
        <v>35</v>
      </c>
    </row>
    <row r="44" customFormat="false" ht="15" hidden="false" customHeight="true" outlineLevel="0" collapsed="false">
      <c r="A44" s="1" t="n">
        <v>43</v>
      </c>
      <c r="B44" s="1" t="s">
        <v>154</v>
      </c>
      <c r="C44" s="1" t="s">
        <v>155</v>
      </c>
      <c r="D44" s="1" t="s">
        <v>156</v>
      </c>
      <c r="E44" s="1" t="n">
        <v>37833.44</v>
      </c>
      <c r="F44" s="1" t="s">
        <v>39</v>
      </c>
      <c r="G44" s="1" t="s">
        <v>157</v>
      </c>
      <c r="H44" s="1" t="s">
        <v>65</v>
      </c>
      <c r="I44" s="1" t="s">
        <v>11</v>
      </c>
      <c r="J44" s="1" t="s">
        <v>35</v>
      </c>
    </row>
    <row r="45" customFormat="false" ht="15" hidden="false" customHeight="true" outlineLevel="0" collapsed="false">
      <c r="A45" s="1" t="n">
        <v>44</v>
      </c>
      <c r="B45" s="1" t="s">
        <v>158</v>
      </c>
      <c r="C45" s="1" t="s">
        <v>159</v>
      </c>
      <c r="D45" s="1" t="s">
        <v>160</v>
      </c>
      <c r="E45" s="1" t="n">
        <v>5439.95</v>
      </c>
      <c r="F45" s="1" t="s">
        <v>31</v>
      </c>
      <c r="G45" s="1" t="s">
        <v>114</v>
      </c>
      <c r="H45" s="1" t="s">
        <v>65</v>
      </c>
      <c r="I45" s="1" t="s">
        <v>12</v>
      </c>
      <c r="J45" s="1" t="s">
        <v>35</v>
      </c>
    </row>
    <row r="46" customFormat="false" ht="15" hidden="false" customHeight="true" outlineLevel="0" collapsed="false">
      <c r="A46" s="1" t="n">
        <v>45</v>
      </c>
      <c r="B46" s="1" t="s">
        <v>161</v>
      </c>
      <c r="C46" s="1" t="s">
        <v>162</v>
      </c>
      <c r="D46" s="1" t="s">
        <v>163</v>
      </c>
      <c r="E46" s="1" t="n">
        <v>18014.2</v>
      </c>
      <c r="F46" s="1" t="s">
        <v>39</v>
      </c>
      <c r="G46" s="1" t="s">
        <v>124</v>
      </c>
      <c r="H46" s="1" t="s">
        <v>51</v>
      </c>
      <c r="I46" s="1" t="s">
        <v>11</v>
      </c>
      <c r="J46" s="1" t="s">
        <v>35</v>
      </c>
    </row>
    <row r="47" customFormat="false" ht="15" hidden="false" customHeight="true" outlineLevel="0" collapsed="false">
      <c r="A47" s="1" t="n">
        <v>46</v>
      </c>
      <c r="B47" s="1" t="s">
        <v>164</v>
      </c>
      <c r="C47" s="1" t="s">
        <v>165</v>
      </c>
      <c r="D47" s="1" t="s">
        <v>150</v>
      </c>
      <c r="E47" s="1" t="n">
        <v>25344.23</v>
      </c>
      <c r="F47" s="1" t="s">
        <v>31</v>
      </c>
      <c r="G47" s="1" t="s">
        <v>166</v>
      </c>
      <c r="H47" s="1" t="s">
        <v>65</v>
      </c>
      <c r="I47" s="1" t="s">
        <v>12</v>
      </c>
      <c r="J47" s="1" t="s">
        <v>35</v>
      </c>
    </row>
    <row r="48" customFormat="false" ht="15" hidden="false" customHeight="true" outlineLevel="0" collapsed="false">
      <c r="A48" s="1" t="n">
        <v>47</v>
      </c>
      <c r="B48" s="1" t="s">
        <v>167</v>
      </c>
      <c r="C48" s="1" t="s">
        <v>168</v>
      </c>
      <c r="D48" s="1" t="s">
        <v>169</v>
      </c>
      <c r="E48" s="1" t="n">
        <v>44225.68</v>
      </c>
      <c r="F48" s="1" t="s">
        <v>55</v>
      </c>
      <c r="G48" s="1" t="s">
        <v>114</v>
      </c>
      <c r="H48" s="1" t="s">
        <v>65</v>
      </c>
      <c r="I48" s="1" t="s">
        <v>13</v>
      </c>
      <c r="J48" s="1" t="s">
        <v>34</v>
      </c>
    </row>
    <row r="49" customFormat="false" ht="15" hidden="false" customHeight="true" outlineLevel="0" collapsed="false">
      <c r="A49" s="1" t="n">
        <v>48</v>
      </c>
      <c r="B49" s="1" t="s">
        <v>170</v>
      </c>
      <c r="C49" s="1" t="s">
        <v>171</v>
      </c>
      <c r="D49" s="1" t="s">
        <v>172</v>
      </c>
      <c r="E49" s="1" t="n">
        <v>41748.13</v>
      </c>
      <c r="F49" s="1" t="s">
        <v>39</v>
      </c>
      <c r="G49" s="1" t="s">
        <v>80</v>
      </c>
      <c r="H49" s="1" t="s">
        <v>51</v>
      </c>
      <c r="I49" s="1" t="s">
        <v>11</v>
      </c>
      <c r="J49" s="1" t="s">
        <v>35</v>
      </c>
    </row>
    <row r="50" customFormat="false" ht="15" hidden="false" customHeight="true" outlineLevel="0" collapsed="false">
      <c r="A50" s="1" t="n">
        <v>49</v>
      </c>
      <c r="B50" s="1" t="s">
        <v>170</v>
      </c>
      <c r="C50" s="1" t="s">
        <v>171</v>
      </c>
      <c r="D50" s="1" t="s">
        <v>172</v>
      </c>
      <c r="E50" s="1" t="n">
        <v>41748.13</v>
      </c>
      <c r="F50" s="1" t="s">
        <v>39</v>
      </c>
      <c r="G50" s="1" t="s">
        <v>80</v>
      </c>
      <c r="H50" s="1" t="s">
        <v>51</v>
      </c>
      <c r="I50" s="1" t="s">
        <v>13</v>
      </c>
      <c r="J50" s="1" t="s">
        <v>34</v>
      </c>
    </row>
    <row r="51" customFormat="false" ht="15" hidden="false" customHeight="true" outlineLevel="0" collapsed="false">
      <c r="A51" s="1" t="n">
        <v>50</v>
      </c>
      <c r="B51" s="1" t="s">
        <v>173</v>
      </c>
      <c r="C51" s="1" t="s">
        <v>174</v>
      </c>
      <c r="D51" s="1" t="s">
        <v>175</v>
      </c>
      <c r="E51" s="1" t="n">
        <v>30489.4</v>
      </c>
      <c r="F51" s="1" t="s">
        <v>31</v>
      </c>
      <c r="G51" s="1" t="s">
        <v>72</v>
      </c>
      <c r="H51" s="1" t="s">
        <v>57</v>
      </c>
      <c r="I51" s="1" t="s">
        <v>12</v>
      </c>
      <c r="J51" s="1" t="s">
        <v>35</v>
      </c>
    </row>
    <row r="52" customFormat="false" ht="15" hidden="false" customHeight="true" outlineLevel="0" collapsed="false">
      <c r="A52" s="1" t="n">
        <v>51</v>
      </c>
      <c r="B52" s="1" t="s">
        <v>176</v>
      </c>
      <c r="C52" s="1" t="s">
        <v>177</v>
      </c>
      <c r="D52" s="1" t="s">
        <v>178</v>
      </c>
      <c r="E52" s="1" t="n">
        <v>46555.92</v>
      </c>
      <c r="F52" s="1" t="s">
        <v>31</v>
      </c>
      <c r="G52" s="1" t="s">
        <v>40</v>
      </c>
      <c r="H52" s="1" t="s">
        <v>33</v>
      </c>
      <c r="I52" s="1" t="s">
        <v>12</v>
      </c>
      <c r="J52" s="1" t="s">
        <v>35</v>
      </c>
    </row>
    <row r="53" customFormat="false" ht="15" hidden="false" customHeight="true" outlineLevel="0" collapsed="false">
      <c r="A53" s="1" t="n">
        <v>52</v>
      </c>
      <c r="B53" s="1" t="s">
        <v>176</v>
      </c>
      <c r="C53" s="1" t="s">
        <v>177</v>
      </c>
      <c r="D53" s="1" t="s">
        <v>178</v>
      </c>
      <c r="E53" s="1" t="n">
        <v>46555.92</v>
      </c>
      <c r="F53" s="1" t="s">
        <v>31</v>
      </c>
      <c r="G53" s="1" t="s">
        <v>40</v>
      </c>
      <c r="H53" s="1" t="s">
        <v>33</v>
      </c>
      <c r="I53" s="1" t="s">
        <v>13</v>
      </c>
      <c r="J53" s="1" t="s">
        <v>34</v>
      </c>
    </row>
    <row r="54" customFormat="false" ht="15" hidden="false" customHeight="true" outlineLevel="0" collapsed="false">
      <c r="A54" s="1" t="n">
        <v>53</v>
      </c>
      <c r="B54" s="1" t="s">
        <v>179</v>
      </c>
      <c r="C54" s="1" t="s">
        <v>180</v>
      </c>
      <c r="D54" s="1" t="s">
        <v>181</v>
      </c>
      <c r="E54" s="1" t="n">
        <v>10655.6</v>
      </c>
      <c r="F54" s="1" t="s">
        <v>39</v>
      </c>
      <c r="G54" s="1" t="s">
        <v>80</v>
      </c>
      <c r="H54" s="1" t="s">
        <v>65</v>
      </c>
      <c r="I54" s="1" t="s">
        <v>11</v>
      </c>
      <c r="J54" s="1" t="s">
        <v>35</v>
      </c>
    </row>
    <row r="55" customFormat="false" ht="15" hidden="false" customHeight="true" outlineLevel="0" collapsed="false">
      <c r="A55" s="1" t="n">
        <v>54</v>
      </c>
      <c r="B55" s="1" t="s">
        <v>182</v>
      </c>
      <c r="C55" s="1" t="s">
        <v>183</v>
      </c>
      <c r="D55" s="1" t="s">
        <v>184</v>
      </c>
      <c r="E55" s="1" t="n">
        <v>31309.66</v>
      </c>
      <c r="F55" s="1" t="s">
        <v>31</v>
      </c>
      <c r="G55" s="1" t="s">
        <v>84</v>
      </c>
      <c r="H55" s="1" t="s">
        <v>65</v>
      </c>
      <c r="I55" s="1" t="s">
        <v>10</v>
      </c>
      <c r="J55" s="1" t="s">
        <v>34</v>
      </c>
    </row>
    <row r="56" customFormat="false" ht="15" hidden="false" customHeight="true" outlineLevel="0" collapsed="false">
      <c r="A56" s="1" t="n">
        <v>55</v>
      </c>
      <c r="B56" s="1" t="s">
        <v>182</v>
      </c>
      <c r="C56" s="1" t="s">
        <v>183</v>
      </c>
      <c r="D56" s="1" t="s">
        <v>184</v>
      </c>
      <c r="E56" s="1" t="n">
        <v>31309.66</v>
      </c>
      <c r="F56" s="1" t="s">
        <v>31</v>
      </c>
      <c r="G56" s="1" t="s">
        <v>84</v>
      </c>
      <c r="H56" s="1" t="s">
        <v>65</v>
      </c>
      <c r="I56" s="1" t="s">
        <v>12</v>
      </c>
      <c r="J56" s="1" t="s">
        <v>35</v>
      </c>
    </row>
    <row r="57" customFormat="false" ht="15" hidden="false" customHeight="true" outlineLevel="0" collapsed="false">
      <c r="A57" s="1" t="n">
        <v>56</v>
      </c>
      <c r="B57" s="1" t="s">
        <v>185</v>
      </c>
      <c r="C57" s="1" t="s">
        <v>186</v>
      </c>
      <c r="D57" s="1" t="s">
        <v>187</v>
      </c>
      <c r="E57" s="1" t="n">
        <v>48258.29</v>
      </c>
      <c r="F57" s="1" t="s">
        <v>31</v>
      </c>
      <c r="G57" s="1" t="s">
        <v>166</v>
      </c>
      <c r="H57" s="1" t="s">
        <v>61</v>
      </c>
      <c r="I57" s="1" t="s">
        <v>12</v>
      </c>
      <c r="J57" s="1" t="s">
        <v>35</v>
      </c>
    </row>
    <row r="58" customFormat="false" ht="15" hidden="false" customHeight="true" outlineLevel="0" collapsed="false">
      <c r="A58" s="1" t="n">
        <v>57</v>
      </c>
      <c r="B58" s="1" t="s">
        <v>185</v>
      </c>
      <c r="C58" s="1" t="s">
        <v>186</v>
      </c>
      <c r="D58" s="1" t="s">
        <v>187</v>
      </c>
      <c r="E58" s="1" t="n">
        <v>48258.29</v>
      </c>
      <c r="F58" s="1" t="s">
        <v>31</v>
      </c>
      <c r="G58" s="1" t="s">
        <v>166</v>
      </c>
      <c r="H58" s="1" t="s">
        <v>61</v>
      </c>
      <c r="I58" s="1" t="s">
        <v>13</v>
      </c>
      <c r="J58" s="1" t="s">
        <v>34</v>
      </c>
    </row>
    <row r="59" customFormat="false" ht="15" hidden="false" customHeight="true" outlineLevel="0" collapsed="false">
      <c r="A59" s="1" t="n">
        <v>58</v>
      </c>
      <c r="B59" s="1" t="s">
        <v>188</v>
      </c>
      <c r="C59" s="1" t="s">
        <v>189</v>
      </c>
      <c r="D59" s="1" t="s">
        <v>190</v>
      </c>
      <c r="E59" s="1" t="n">
        <v>10506.3</v>
      </c>
      <c r="F59" s="1" t="s">
        <v>39</v>
      </c>
      <c r="G59" s="1" t="s">
        <v>191</v>
      </c>
      <c r="H59" s="1" t="s">
        <v>41</v>
      </c>
      <c r="I59" s="1" t="s">
        <v>11</v>
      </c>
      <c r="J59" s="1" t="s">
        <v>35</v>
      </c>
    </row>
    <row r="60" customFormat="false" ht="15" hidden="false" customHeight="true" outlineLevel="0" collapsed="false">
      <c r="A60" s="1" t="n">
        <v>59</v>
      </c>
      <c r="B60" s="1" t="s">
        <v>192</v>
      </c>
      <c r="C60" s="1" t="s">
        <v>193</v>
      </c>
      <c r="D60" s="1" t="s">
        <v>194</v>
      </c>
      <c r="E60" s="1" t="n">
        <v>48621.72</v>
      </c>
      <c r="F60" s="1" t="s">
        <v>91</v>
      </c>
      <c r="G60" s="1" t="s">
        <v>32</v>
      </c>
      <c r="H60" s="1" t="s">
        <v>65</v>
      </c>
      <c r="I60" s="1" t="s">
        <v>10</v>
      </c>
      <c r="J60" s="1" t="s">
        <v>34</v>
      </c>
    </row>
    <row r="61" customFormat="false" ht="15" hidden="false" customHeight="true" outlineLevel="0" collapsed="false">
      <c r="A61" s="1" t="n">
        <v>60</v>
      </c>
      <c r="B61" s="1" t="s">
        <v>192</v>
      </c>
      <c r="C61" s="1" t="s">
        <v>193</v>
      </c>
      <c r="D61" s="1" t="s">
        <v>194</v>
      </c>
      <c r="E61" s="1" t="n">
        <v>48621.72</v>
      </c>
      <c r="F61" s="1" t="s">
        <v>91</v>
      </c>
      <c r="G61" s="1" t="s">
        <v>32</v>
      </c>
      <c r="H61" s="1" t="s">
        <v>65</v>
      </c>
      <c r="I61" s="1" t="s">
        <v>13</v>
      </c>
      <c r="J61" s="1" t="s">
        <v>34</v>
      </c>
    </row>
    <row r="62" customFormat="false" ht="15" hidden="false" customHeight="true" outlineLevel="0" collapsed="false">
      <c r="A62" s="1" t="n">
        <v>61</v>
      </c>
      <c r="B62" s="1" t="s">
        <v>195</v>
      </c>
      <c r="C62" s="1" t="s">
        <v>196</v>
      </c>
      <c r="D62" s="1" t="s">
        <v>197</v>
      </c>
      <c r="E62" s="1" t="n">
        <v>34218.72</v>
      </c>
      <c r="F62" s="1" t="s">
        <v>39</v>
      </c>
      <c r="G62" s="1" t="s">
        <v>198</v>
      </c>
      <c r="H62" s="1" t="s">
        <v>61</v>
      </c>
      <c r="I62" s="1" t="s">
        <v>11</v>
      </c>
      <c r="J62" s="1" t="s">
        <v>35</v>
      </c>
    </row>
    <row r="63" customFormat="false" ht="15" hidden="false" customHeight="true" outlineLevel="0" collapsed="false">
      <c r="A63" s="1" t="n">
        <v>62</v>
      </c>
      <c r="B63" s="1" t="s">
        <v>199</v>
      </c>
      <c r="C63" s="1" t="s">
        <v>200</v>
      </c>
      <c r="D63" s="1" t="s">
        <v>201</v>
      </c>
      <c r="E63" s="1" t="n">
        <v>36382.54</v>
      </c>
      <c r="F63" s="1" t="s">
        <v>31</v>
      </c>
      <c r="G63" s="1" t="s">
        <v>45</v>
      </c>
      <c r="H63" s="1" t="s">
        <v>57</v>
      </c>
      <c r="I63" s="1" t="s">
        <v>12</v>
      </c>
      <c r="J63" s="1" t="s">
        <v>35</v>
      </c>
    </row>
    <row r="64" customFormat="false" ht="15" hidden="false" customHeight="true" outlineLevel="0" collapsed="false">
      <c r="A64" s="1" t="n">
        <v>63</v>
      </c>
      <c r="B64" s="1" t="s">
        <v>202</v>
      </c>
      <c r="C64" s="1" t="s">
        <v>203</v>
      </c>
      <c r="D64" s="1" t="s">
        <v>204</v>
      </c>
      <c r="E64" s="1" t="n">
        <v>39797.29</v>
      </c>
      <c r="F64" s="1" t="s">
        <v>31</v>
      </c>
      <c r="G64" s="1" t="s">
        <v>40</v>
      </c>
      <c r="H64" s="1" t="s">
        <v>57</v>
      </c>
      <c r="I64" s="1" t="s">
        <v>12</v>
      </c>
      <c r="J64" s="1" t="s">
        <v>35</v>
      </c>
    </row>
    <row r="65" customFormat="false" ht="15" hidden="false" customHeight="true" outlineLevel="0" collapsed="false">
      <c r="A65" s="1" t="n">
        <v>64</v>
      </c>
      <c r="B65" s="1" t="s">
        <v>205</v>
      </c>
      <c r="C65" s="1" t="s">
        <v>206</v>
      </c>
      <c r="D65" s="1" t="s">
        <v>207</v>
      </c>
      <c r="E65" s="1" t="n">
        <v>25291.26</v>
      </c>
      <c r="F65" s="1" t="s">
        <v>31</v>
      </c>
      <c r="G65" s="1" t="s">
        <v>198</v>
      </c>
      <c r="H65" s="1" t="s">
        <v>51</v>
      </c>
      <c r="I65" s="1" t="s">
        <v>12</v>
      </c>
      <c r="J65" s="1" t="s">
        <v>35</v>
      </c>
    </row>
    <row r="66" customFormat="false" ht="15" hidden="false" customHeight="true" outlineLevel="0" collapsed="false">
      <c r="A66" s="1" t="n">
        <v>65</v>
      </c>
      <c r="B66" s="1" t="s">
        <v>208</v>
      </c>
      <c r="C66" s="1" t="s">
        <v>209</v>
      </c>
      <c r="D66" s="1" t="s">
        <v>210</v>
      </c>
      <c r="E66" s="1" t="n">
        <v>34621.3</v>
      </c>
      <c r="F66" s="1" t="s">
        <v>39</v>
      </c>
      <c r="G66" s="1" t="s">
        <v>211</v>
      </c>
      <c r="H66" s="1" t="s">
        <v>61</v>
      </c>
      <c r="I66" s="1" t="s">
        <v>11</v>
      </c>
      <c r="J66" s="1" t="s">
        <v>35</v>
      </c>
    </row>
    <row r="67" customFormat="false" ht="15" hidden="false" customHeight="true" outlineLevel="0" collapsed="false">
      <c r="A67" s="1" t="n">
        <v>66</v>
      </c>
      <c r="B67" s="1" t="s">
        <v>212</v>
      </c>
      <c r="C67" s="1" t="s">
        <v>213</v>
      </c>
      <c r="D67" s="1" t="s">
        <v>172</v>
      </c>
      <c r="E67" s="1" t="n">
        <v>47664.18</v>
      </c>
      <c r="F67" s="1" t="s">
        <v>91</v>
      </c>
      <c r="G67" s="1" t="s">
        <v>157</v>
      </c>
      <c r="H67" s="1" t="s">
        <v>57</v>
      </c>
      <c r="I67" s="1" t="s">
        <v>13</v>
      </c>
      <c r="J67" s="1" t="s">
        <v>34</v>
      </c>
    </row>
    <row r="68" customFormat="false" ht="15" hidden="false" customHeight="true" outlineLevel="0" collapsed="false">
      <c r="A68" s="1" t="n">
        <v>67</v>
      </c>
      <c r="B68" s="1" t="s">
        <v>214</v>
      </c>
      <c r="C68" s="1" t="s">
        <v>215</v>
      </c>
      <c r="D68" s="1" t="s">
        <v>216</v>
      </c>
      <c r="E68" s="1" t="n">
        <v>41096.91</v>
      </c>
      <c r="F68" s="1" t="s">
        <v>39</v>
      </c>
      <c r="G68" s="1" t="s">
        <v>114</v>
      </c>
      <c r="H68" s="1" t="s">
        <v>33</v>
      </c>
      <c r="I68" s="1" t="s">
        <v>11</v>
      </c>
      <c r="J68" s="1" t="s">
        <v>35</v>
      </c>
    </row>
    <row r="69" customFormat="false" ht="15" hidden="false" customHeight="true" outlineLevel="0" collapsed="false">
      <c r="A69" s="1" t="n">
        <v>68</v>
      </c>
      <c r="B69" s="1" t="s">
        <v>214</v>
      </c>
      <c r="C69" s="1" t="s">
        <v>215</v>
      </c>
      <c r="D69" s="1" t="s">
        <v>216</v>
      </c>
      <c r="E69" s="1" t="n">
        <v>41096.91</v>
      </c>
      <c r="F69" s="1" t="s">
        <v>39</v>
      </c>
      <c r="G69" s="1" t="s">
        <v>114</v>
      </c>
      <c r="H69" s="1" t="s">
        <v>33</v>
      </c>
      <c r="I69" s="1" t="s">
        <v>13</v>
      </c>
      <c r="J69" s="1" t="s">
        <v>34</v>
      </c>
    </row>
    <row r="70" customFormat="false" ht="15" hidden="false" customHeight="true" outlineLevel="0" collapsed="false">
      <c r="A70" s="1" t="n">
        <v>69</v>
      </c>
      <c r="B70" s="1" t="s">
        <v>217</v>
      </c>
      <c r="C70" s="1" t="s">
        <v>218</v>
      </c>
      <c r="D70" s="1" t="s">
        <v>219</v>
      </c>
      <c r="E70" s="1" t="n">
        <v>31353.33</v>
      </c>
      <c r="F70" s="1" t="s">
        <v>31</v>
      </c>
      <c r="G70" s="1" t="s">
        <v>95</v>
      </c>
      <c r="H70" s="1" t="s">
        <v>41</v>
      </c>
      <c r="I70" s="1" t="s">
        <v>12</v>
      </c>
      <c r="J70" s="1" t="s">
        <v>35</v>
      </c>
    </row>
    <row r="71" customFormat="false" ht="15" hidden="false" customHeight="true" outlineLevel="0" collapsed="false">
      <c r="A71" s="1" t="n">
        <v>70</v>
      </c>
      <c r="B71" s="1" t="s">
        <v>220</v>
      </c>
      <c r="C71" s="1" t="s">
        <v>221</v>
      </c>
      <c r="D71" s="1" t="s">
        <v>222</v>
      </c>
      <c r="E71" s="1" t="n">
        <v>44070.48</v>
      </c>
      <c r="F71" s="1" t="s">
        <v>55</v>
      </c>
      <c r="G71" s="1" t="s">
        <v>45</v>
      </c>
      <c r="H71" s="1" t="s">
        <v>65</v>
      </c>
      <c r="I71" s="1" t="s">
        <v>13</v>
      </c>
      <c r="J71" s="1" t="s">
        <v>34</v>
      </c>
    </row>
    <row r="72" customFormat="false" ht="15" hidden="false" customHeight="true" outlineLevel="0" collapsed="false">
      <c r="A72" s="1" t="n">
        <v>71</v>
      </c>
      <c r="B72" s="1" t="s">
        <v>223</v>
      </c>
      <c r="C72" s="1" t="s">
        <v>224</v>
      </c>
      <c r="D72" s="1" t="s">
        <v>225</v>
      </c>
      <c r="E72" s="1" t="n">
        <v>10401.09</v>
      </c>
      <c r="F72" s="1" t="s">
        <v>55</v>
      </c>
      <c r="G72" s="1" t="s">
        <v>32</v>
      </c>
      <c r="H72" s="1" t="s">
        <v>57</v>
      </c>
      <c r="I72" s="1" t="s">
        <v>10</v>
      </c>
      <c r="J72" s="1" t="s">
        <v>34</v>
      </c>
    </row>
    <row r="73" customFormat="false" ht="15" hidden="false" customHeight="true" outlineLevel="0" collapsed="false">
      <c r="A73" s="1" t="n">
        <v>72</v>
      </c>
      <c r="B73" s="1" t="s">
        <v>226</v>
      </c>
      <c r="C73" s="1" t="s">
        <v>227</v>
      </c>
      <c r="D73" s="1" t="s">
        <v>228</v>
      </c>
      <c r="E73" s="1" t="n">
        <v>48380.63</v>
      </c>
      <c r="F73" s="1" t="s">
        <v>31</v>
      </c>
      <c r="G73" s="1" t="s">
        <v>32</v>
      </c>
      <c r="H73" s="1" t="s">
        <v>51</v>
      </c>
      <c r="I73" s="1" t="s">
        <v>10</v>
      </c>
      <c r="J73" s="1" t="s">
        <v>34</v>
      </c>
    </row>
    <row r="74" customFormat="false" ht="15" hidden="false" customHeight="true" outlineLevel="0" collapsed="false">
      <c r="A74" s="1" t="n">
        <v>73</v>
      </c>
      <c r="B74" s="1" t="s">
        <v>226</v>
      </c>
      <c r="C74" s="1" t="s">
        <v>227</v>
      </c>
      <c r="D74" s="1" t="s">
        <v>228</v>
      </c>
      <c r="E74" s="1" t="n">
        <v>48380.63</v>
      </c>
      <c r="F74" s="1" t="s">
        <v>31</v>
      </c>
      <c r="G74" s="1" t="s">
        <v>32</v>
      </c>
      <c r="H74" s="1" t="s">
        <v>51</v>
      </c>
      <c r="I74" s="1" t="s">
        <v>12</v>
      </c>
      <c r="J74" s="1" t="s">
        <v>35</v>
      </c>
    </row>
    <row r="75" customFormat="false" ht="15" hidden="false" customHeight="true" outlineLevel="0" collapsed="false">
      <c r="A75" s="1" t="n">
        <v>74</v>
      </c>
      <c r="B75" s="1" t="s">
        <v>226</v>
      </c>
      <c r="C75" s="1" t="s">
        <v>227</v>
      </c>
      <c r="D75" s="1" t="s">
        <v>228</v>
      </c>
      <c r="E75" s="1" t="n">
        <v>48380.63</v>
      </c>
      <c r="F75" s="1" t="s">
        <v>31</v>
      </c>
      <c r="G75" s="1" t="s">
        <v>32</v>
      </c>
      <c r="H75" s="1" t="s">
        <v>51</v>
      </c>
      <c r="I75" s="1" t="s">
        <v>13</v>
      </c>
      <c r="J75" s="1" t="s">
        <v>34</v>
      </c>
    </row>
    <row r="76" customFormat="false" ht="15" hidden="false" customHeight="true" outlineLevel="0" collapsed="false">
      <c r="A76" s="1" t="n">
        <v>75</v>
      </c>
      <c r="B76" s="1" t="s">
        <v>229</v>
      </c>
      <c r="C76" s="1" t="s">
        <v>230</v>
      </c>
      <c r="D76" s="1" t="s">
        <v>87</v>
      </c>
      <c r="E76" s="1" t="n">
        <v>16220.46</v>
      </c>
      <c r="F76" s="1" t="s">
        <v>39</v>
      </c>
      <c r="G76" s="1" t="s">
        <v>32</v>
      </c>
      <c r="H76" s="1" t="s">
        <v>57</v>
      </c>
      <c r="I76" s="1" t="s">
        <v>10</v>
      </c>
      <c r="J76" s="1" t="s">
        <v>34</v>
      </c>
    </row>
    <row r="77" customFormat="false" ht="15" hidden="false" customHeight="true" outlineLevel="0" collapsed="false">
      <c r="A77" s="1" t="n">
        <v>76</v>
      </c>
      <c r="B77" s="1" t="s">
        <v>229</v>
      </c>
      <c r="C77" s="1" t="s">
        <v>230</v>
      </c>
      <c r="D77" s="1" t="s">
        <v>87</v>
      </c>
      <c r="E77" s="1" t="n">
        <v>16220.46</v>
      </c>
      <c r="F77" s="1" t="s">
        <v>39</v>
      </c>
      <c r="G77" s="1" t="s">
        <v>32</v>
      </c>
      <c r="H77" s="1" t="s">
        <v>57</v>
      </c>
      <c r="I77" s="1" t="s">
        <v>11</v>
      </c>
      <c r="J77" s="1" t="s">
        <v>35</v>
      </c>
    </row>
    <row r="78" customFormat="false" ht="15" hidden="false" customHeight="true" outlineLevel="0" collapsed="false">
      <c r="A78" s="1" t="n">
        <v>77</v>
      </c>
      <c r="B78" s="1" t="s">
        <v>231</v>
      </c>
      <c r="C78" s="1" t="s">
        <v>232</v>
      </c>
      <c r="D78" s="1" t="s">
        <v>233</v>
      </c>
      <c r="E78" s="1" t="n">
        <v>11675.88</v>
      </c>
      <c r="F78" s="1" t="s">
        <v>39</v>
      </c>
      <c r="G78" s="1" t="s">
        <v>135</v>
      </c>
      <c r="H78" s="1" t="s">
        <v>61</v>
      </c>
      <c r="I78" s="1" t="s">
        <v>11</v>
      </c>
      <c r="J78" s="1" t="s">
        <v>35</v>
      </c>
    </row>
    <row r="79" customFormat="false" ht="15" hidden="false" customHeight="true" outlineLevel="0" collapsed="false">
      <c r="A79" s="1" t="n">
        <v>78</v>
      </c>
      <c r="B79" s="1" t="s">
        <v>234</v>
      </c>
      <c r="C79" s="1" t="s">
        <v>235</v>
      </c>
      <c r="D79" s="1" t="s">
        <v>236</v>
      </c>
      <c r="E79" s="1" t="n">
        <v>21360.97</v>
      </c>
      <c r="F79" s="1" t="s">
        <v>31</v>
      </c>
      <c r="G79" s="1" t="s">
        <v>84</v>
      </c>
      <c r="H79" s="1" t="s">
        <v>41</v>
      </c>
      <c r="I79" s="1" t="s">
        <v>10</v>
      </c>
      <c r="J79" s="1" t="s">
        <v>34</v>
      </c>
    </row>
    <row r="80" customFormat="false" ht="15" hidden="false" customHeight="true" outlineLevel="0" collapsed="false">
      <c r="A80" s="1" t="n">
        <v>79</v>
      </c>
      <c r="B80" s="1" t="s">
        <v>234</v>
      </c>
      <c r="C80" s="1" t="s">
        <v>235</v>
      </c>
      <c r="D80" s="1" t="s">
        <v>236</v>
      </c>
      <c r="E80" s="1" t="n">
        <v>21360.97</v>
      </c>
      <c r="F80" s="1" t="s">
        <v>31</v>
      </c>
      <c r="G80" s="1" t="s">
        <v>84</v>
      </c>
      <c r="H80" s="1" t="s">
        <v>41</v>
      </c>
      <c r="I80" s="1" t="s">
        <v>12</v>
      </c>
      <c r="J80" s="1" t="s">
        <v>35</v>
      </c>
    </row>
    <row r="81" customFormat="false" ht="15" hidden="false" customHeight="true" outlineLevel="0" collapsed="false">
      <c r="A81" s="1" t="n">
        <v>80</v>
      </c>
      <c r="B81" s="1" t="s">
        <v>237</v>
      </c>
      <c r="C81" s="1" t="s">
        <v>238</v>
      </c>
      <c r="D81" s="1" t="s">
        <v>239</v>
      </c>
      <c r="E81" s="1" t="n">
        <v>37736.21</v>
      </c>
      <c r="F81" s="1" t="s">
        <v>49</v>
      </c>
      <c r="G81" s="1" t="s">
        <v>32</v>
      </c>
      <c r="H81" s="1" t="s">
        <v>65</v>
      </c>
      <c r="I81" s="1" t="s">
        <v>10</v>
      </c>
      <c r="J81" s="1" t="s">
        <v>34</v>
      </c>
    </row>
    <row r="82" customFormat="false" ht="15" hidden="false" customHeight="true" outlineLevel="0" collapsed="false">
      <c r="A82" s="1" t="n">
        <v>81</v>
      </c>
      <c r="B82" s="1" t="s">
        <v>240</v>
      </c>
      <c r="C82" s="1" t="s">
        <v>241</v>
      </c>
      <c r="D82" s="1" t="s">
        <v>242</v>
      </c>
      <c r="E82" s="1" t="n">
        <v>23392.6</v>
      </c>
      <c r="F82" s="1" t="s">
        <v>31</v>
      </c>
      <c r="G82" s="1" t="s">
        <v>50</v>
      </c>
      <c r="H82" s="1" t="s">
        <v>41</v>
      </c>
      <c r="I82" s="1" t="s">
        <v>10</v>
      </c>
      <c r="J82" s="1" t="s">
        <v>34</v>
      </c>
    </row>
    <row r="83" customFormat="false" ht="15" hidden="false" customHeight="true" outlineLevel="0" collapsed="false">
      <c r="A83" s="1" t="n">
        <v>82</v>
      </c>
      <c r="B83" s="1" t="s">
        <v>240</v>
      </c>
      <c r="C83" s="1" t="s">
        <v>241</v>
      </c>
      <c r="D83" s="1" t="s">
        <v>242</v>
      </c>
      <c r="E83" s="1" t="n">
        <v>23392.6</v>
      </c>
      <c r="F83" s="1" t="s">
        <v>31</v>
      </c>
      <c r="G83" s="1" t="s">
        <v>50</v>
      </c>
      <c r="H83" s="1" t="s">
        <v>41</v>
      </c>
      <c r="I83" s="1" t="s">
        <v>12</v>
      </c>
      <c r="J83" s="1" t="s">
        <v>35</v>
      </c>
    </row>
    <row r="84" customFormat="false" ht="15" hidden="false" customHeight="true" outlineLevel="0" collapsed="false">
      <c r="A84" s="1" t="n">
        <v>83</v>
      </c>
      <c r="B84" s="1" t="s">
        <v>243</v>
      </c>
      <c r="C84" s="1" t="s">
        <v>244</v>
      </c>
      <c r="D84" s="1" t="s">
        <v>245</v>
      </c>
      <c r="E84" s="1" t="n">
        <v>41437.8</v>
      </c>
      <c r="F84" s="1" t="s">
        <v>31</v>
      </c>
      <c r="G84" s="1" t="s">
        <v>211</v>
      </c>
      <c r="H84" s="1" t="s">
        <v>51</v>
      </c>
      <c r="I84" s="1" t="s">
        <v>12</v>
      </c>
      <c r="J84" s="1" t="s">
        <v>35</v>
      </c>
    </row>
    <row r="85" customFormat="false" ht="15" hidden="false" customHeight="true" outlineLevel="0" collapsed="false">
      <c r="A85" s="1" t="n">
        <v>84</v>
      </c>
      <c r="B85" s="1" t="s">
        <v>243</v>
      </c>
      <c r="C85" s="1" t="s">
        <v>244</v>
      </c>
      <c r="D85" s="1" t="s">
        <v>245</v>
      </c>
      <c r="E85" s="1" t="n">
        <v>41437.8</v>
      </c>
      <c r="F85" s="1" t="s">
        <v>31</v>
      </c>
      <c r="G85" s="1" t="s">
        <v>211</v>
      </c>
      <c r="H85" s="1" t="s">
        <v>51</v>
      </c>
      <c r="I85" s="1" t="s">
        <v>13</v>
      </c>
      <c r="J85" s="1" t="s">
        <v>34</v>
      </c>
    </row>
    <row r="86" customFormat="false" ht="15" hidden="false" customHeight="true" outlineLevel="0" collapsed="false">
      <c r="A86" s="1" t="n">
        <v>85</v>
      </c>
      <c r="B86" s="1" t="s">
        <v>246</v>
      </c>
      <c r="C86" s="1" t="s">
        <v>247</v>
      </c>
      <c r="D86" s="1" t="s">
        <v>248</v>
      </c>
      <c r="E86" s="1" t="n">
        <v>45044.4</v>
      </c>
      <c r="F86" s="1" t="s">
        <v>49</v>
      </c>
      <c r="G86" s="1" t="s">
        <v>211</v>
      </c>
      <c r="H86" s="1" t="s">
        <v>33</v>
      </c>
      <c r="I86" s="1" t="s">
        <v>13</v>
      </c>
      <c r="J86" s="1" t="s">
        <v>34</v>
      </c>
    </row>
    <row r="87" customFormat="false" ht="15" hidden="false" customHeight="true" outlineLevel="0" collapsed="false">
      <c r="A87" s="1" t="n">
        <v>86</v>
      </c>
      <c r="B87" s="1" t="s">
        <v>249</v>
      </c>
      <c r="C87" s="1" t="s">
        <v>250</v>
      </c>
      <c r="D87" s="1" t="s">
        <v>251</v>
      </c>
      <c r="E87" s="1" t="n">
        <v>48352.61</v>
      </c>
      <c r="F87" s="1" t="s">
        <v>39</v>
      </c>
      <c r="G87" s="1" t="s">
        <v>166</v>
      </c>
      <c r="H87" s="1" t="s">
        <v>51</v>
      </c>
      <c r="I87" s="1" t="s">
        <v>11</v>
      </c>
      <c r="J87" s="1" t="s">
        <v>35</v>
      </c>
    </row>
    <row r="88" customFormat="false" ht="15" hidden="false" customHeight="true" outlineLevel="0" collapsed="false">
      <c r="A88" s="1" t="n">
        <v>87</v>
      </c>
      <c r="B88" s="1" t="s">
        <v>249</v>
      </c>
      <c r="C88" s="1" t="s">
        <v>250</v>
      </c>
      <c r="D88" s="1" t="s">
        <v>251</v>
      </c>
      <c r="E88" s="1" t="n">
        <v>48352.61</v>
      </c>
      <c r="F88" s="1" t="s">
        <v>39</v>
      </c>
      <c r="G88" s="1" t="s">
        <v>166</v>
      </c>
      <c r="H88" s="1" t="s">
        <v>51</v>
      </c>
      <c r="I88" s="1" t="s">
        <v>13</v>
      </c>
      <c r="J88" s="1" t="s">
        <v>34</v>
      </c>
    </row>
    <row r="89" customFormat="false" ht="15" hidden="false" customHeight="true" outlineLevel="0" collapsed="false">
      <c r="A89" s="1" t="n">
        <v>88</v>
      </c>
      <c r="B89" s="1" t="s">
        <v>252</v>
      </c>
      <c r="C89" s="1" t="s">
        <v>253</v>
      </c>
      <c r="D89" s="1" t="s">
        <v>254</v>
      </c>
      <c r="E89" s="1" t="n">
        <v>37565.2</v>
      </c>
      <c r="F89" s="1" t="s">
        <v>31</v>
      </c>
      <c r="G89" s="1" t="s">
        <v>80</v>
      </c>
      <c r="H89" s="1" t="s">
        <v>57</v>
      </c>
      <c r="I89" s="1" t="s">
        <v>12</v>
      </c>
      <c r="J89" s="1" t="s">
        <v>35</v>
      </c>
    </row>
    <row r="90" customFormat="false" ht="15" hidden="false" customHeight="true" outlineLevel="0" collapsed="false">
      <c r="A90" s="1" t="n">
        <v>89</v>
      </c>
      <c r="B90" s="1" t="s">
        <v>255</v>
      </c>
      <c r="C90" s="1" t="s">
        <v>256</v>
      </c>
      <c r="D90" s="1" t="s">
        <v>48</v>
      </c>
      <c r="E90" s="1" t="n">
        <v>14007.77</v>
      </c>
      <c r="F90" s="1" t="s">
        <v>39</v>
      </c>
      <c r="G90" s="1" t="s">
        <v>56</v>
      </c>
      <c r="H90" s="1" t="s">
        <v>51</v>
      </c>
      <c r="I90" s="1" t="s">
        <v>10</v>
      </c>
      <c r="J90" s="1" t="s">
        <v>34</v>
      </c>
    </row>
    <row r="91" customFormat="false" ht="15" hidden="false" customHeight="true" outlineLevel="0" collapsed="false">
      <c r="A91" s="1" t="n">
        <v>90</v>
      </c>
      <c r="B91" s="1" t="s">
        <v>255</v>
      </c>
      <c r="C91" s="1" t="s">
        <v>256</v>
      </c>
      <c r="D91" s="1" t="s">
        <v>48</v>
      </c>
      <c r="E91" s="1" t="n">
        <v>14007.77</v>
      </c>
      <c r="F91" s="1" t="s">
        <v>39</v>
      </c>
      <c r="G91" s="1" t="s">
        <v>56</v>
      </c>
      <c r="H91" s="1" t="s">
        <v>51</v>
      </c>
      <c r="I91" s="1" t="s">
        <v>11</v>
      </c>
      <c r="J91" s="1" t="s">
        <v>35</v>
      </c>
    </row>
    <row r="92" customFormat="false" ht="15" hidden="false" customHeight="true" outlineLevel="0" collapsed="false">
      <c r="A92" s="1" t="n">
        <v>91</v>
      </c>
      <c r="B92" s="1" t="s">
        <v>257</v>
      </c>
      <c r="C92" s="1" t="s">
        <v>258</v>
      </c>
      <c r="D92" s="1" t="s">
        <v>259</v>
      </c>
      <c r="E92" s="1" t="n">
        <v>42379.13</v>
      </c>
      <c r="F92" s="1" t="s">
        <v>91</v>
      </c>
      <c r="G92" s="1" t="s">
        <v>95</v>
      </c>
      <c r="H92" s="1" t="s">
        <v>61</v>
      </c>
      <c r="I92" s="1" t="s">
        <v>13</v>
      </c>
      <c r="J92" s="1" t="s">
        <v>34</v>
      </c>
    </row>
    <row r="93" customFormat="false" ht="15" hidden="false" customHeight="true" outlineLevel="0" collapsed="false">
      <c r="A93" s="1" t="n">
        <v>92</v>
      </c>
      <c r="B93" s="1" t="s">
        <v>260</v>
      </c>
      <c r="C93" s="1" t="s">
        <v>261</v>
      </c>
      <c r="D93" s="1" t="s">
        <v>262</v>
      </c>
      <c r="E93" s="1" t="n">
        <v>15376.45</v>
      </c>
      <c r="F93" s="1" t="s">
        <v>31</v>
      </c>
      <c r="G93" s="1" t="s">
        <v>72</v>
      </c>
      <c r="H93" s="1" t="s">
        <v>33</v>
      </c>
      <c r="I93" s="1" t="s">
        <v>12</v>
      </c>
      <c r="J93" s="1" t="s">
        <v>35</v>
      </c>
    </row>
    <row r="94" customFormat="false" ht="15" hidden="false" customHeight="true" outlineLevel="0" collapsed="false">
      <c r="A94" s="1" t="n">
        <v>93</v>
      </c>
      <c r="B94" s="1" t="s">
        <v>263</v>
      </c>
      <c r="C94" s="1" t="s">
        <v>264</v>
      </c>
      <c r="D94" s="1" t="s">
        <v>44</v>
      </c>
      <c r="E94" s="1" t="n">
        <v>34602.74</v>
      </c>
      <c r="F94" s="1" t="s">
        <v>39</v>
      </c>
      <c r="G94" s="1" t="s">
        <v>211</v>
      </c>
      <c r="H94" s="1" t="s">
        <v>51</v>
      </c>
      <c r="I94" s="1" t="s">
        <v>11</v>
      </c>
      <c r="J94" s="1" t="s">
        <v>35</v>
      </c>
    </row>
    <row r="95" customFormat="false" ht="15" hidden="false" customHeight="true" outlineLevel="0" collapsed="false">
      <c r="A95" s="1" t="n">
        <v>94</v>
      </c>
      <c r="B95" s="1" t="s">
        <v>265</v>
      </c>
      <c r="C95" s="1" t="s">
        <v>266</v>
      </c>
      <c r="D95" s="1" t="s">
        <v>201</v>
      </c>
      <c r="E95" s="1" t="n">
        <v>16716.48</v>
      </c>
      <c r="F95" s="1" t="s">
        <v>31</v>
      </c>
      <c r="G95" s="1" t="s">
        <v>72</v>
      </c>
      <c r="H95" s="1" t="s">
        <v>57</v>
      </c>
      <c r="I95" s="1" t="s">
        <v>12</v>
      </c>
      <c r="J95" s="1" t="s">
        <v>35</v>
      </c>
    </row>
    <row r="96" customFormat="false" ht="15" hidden="false" customHeight="true" outlineLevel="0" collapsed="false">
      <c r="A96" s="1" t="n">
        <v>95</v>
      </c>
      <c r="B96" s="1" t="s">
        <v>267</v>
      </c>
      <c r="C96" s="1" t="s">
        <v>268</v>
      </c>
      <c r="D96" s="1" t="s">
        <v>269</v>
      </c>
      <c r="E96" s="1" t="n">
        <v>22593.71</v>
      </c>
      <c r="F96" s="1" t="s">
        <v>31</v>
      </c>
      <c r="G96" s="1" t="s">
        <v>211</v>
      </c>
      <c r="H96" s="1" t="s">
        <v>65</v>
      </c>
      <c r="I96" s="1" t="s">
        <v>12</v>
      </c>
      <c r="J96" s="1" t="s">
        <v>35</v>
      </c>
    </row>
    <row r="97" customFormat="false" ht="15" hidden="false" customHeight="true" outlineLevel="0" collapsed="false">
      <c r="A97" s="1" t="n">
        <v>96</v>
      </c>
      <c r="B97" s="1" t="s">
        <v>270</v>
      </c>
      <c r="C97" s="1" t="s">
        <v>271</v>
      </c>
      <c r="D97" s="1" t="s">
        <v>236</v>
      </c>
      <c r="E97" s="1" t="n">
        <v>16428.47</v>
      </c>
      <c r="F97" s="1" t="s">
        <v>31</v>
      </c>
      <c r="G97" s="1" t="s">
        <v>40</v>
      </c>
      <c r="H97" s="1" t="s">
        <v>57</v>
      </c>
      <c r="I97" s="1" t="s">
        <v>12</v>
      </c>
      <c r="J97" s="1" t="s">
        <v>35</v>
      </c>
    </row>
    <row r="98" customFormat="false" ht="15" hidden="false" customHeight="true" outlineLevel="0" collapsed="false">
      <c r="A98" s="1" t="n">
        <v>97</v>
      </c>
      <c r="B98" s="1" t="s">
        <v>272</v>
      </c>
      <c r="C98" s="1" t="s">
        <v>273</v>
      </c>
      <c r="D98" s="1" t="s">
        <v>274</v>
      </c>
      <c r="E98" s="1" t="n">
        <v>25454.16</v>
      </c>
      <c r="F98" s="1" t="s">
        <v>31</v>
      </c>
      <c r="G98" s="1" t="s">
        <v>40</v>
      </c>
      <c r="H98" s="1" t="s">
        <v>51</v>
      </c>
      <c r="I98" s="1" t="s">
        <v>12</v>
      </c>
      <c r="J98" s="1" t="s">
        <v>35</v>
      </c>
    </row>
    <row r="99" customFormat="false" ht="15" hidden="false" customHeight="true" outlineLevel="0" collapsed="false">
      <c r="A99" s="1" t="n">
        <v>98</v>
      </c>
      <c r="B99" s="1" t="s">
        <v>275</v>
      </c>
      <c r="C99" s="1" t="s">
        <v>276</v>
      </c>
      <c r="D99" s="1" t="s">
        <v>277</v>
      </c>
      <c r="E99" s="1" t="n">
        <v>46820.19</v>
      </c>
      <c r="F99" s="1" t="s">
        <v>55</v>
      </c>
      <c r="G99" s="1" t="s">
        <v>45</v>
      </c>
      <c r="H99" s="1" t="s">
        <v>51</v>
      </c>
      <c r="I99" s="1" t="s">
        <v>13</v>
      </c>
      <c r="J99" s="1" t="s">
        <v>34</v>
      </c>
    </row>
    <row r="100" customFormat="false" ht="15" hidden="false" customHeight="true" outlineLevel="0" collapsed="false">
      <c r="A100" s="1" t="n">
        <v>99</v>
      </c>
      <c r="B100" s="1" t="s">
        <v>278</v>
      </c>
      <c r="C100" s="1" t="s">
        <v>279</v>
      </c>
      <c r="D100" s="1" t="s">
        <v>280</v>
      </c>
      <c r="E100" s="1" t="n">
        <v>45665.85</v>
      </c>
      <c r="F100" s="1" t="s">
        <v>55</v>
      </c>
      <c r="G100" s="1" t="s">
        <v>32</v>
      </c>
      <c r="H100" s="1" t="s">
        <v>51</v>
      </c>
      <c r="I100" s="1" t="s">
        <v>10</v>
      </c>
      <c r="J100" s="1" t="s">
        <v>34</v>
      </c>
    </row>
    <row r="101" customFormat="false" ht="15" hidden="false" customHeight="true" outlineLevel="0" collapsed="false">
      <c r="A101" s="1" t="n">
        <v>100</v>
      </c>
      <c r="B101" s="1" t="s">
        <v>278</v>
      </c>
      <c r="C101" s="1" t="s">
        <v>279</v>
      </c>
      <c r="D101" s="1" t="s">
        <v>280</v>
      </c>
      <c r="E101" s="1" t="n">
        <v>45665.85</v>
      </c>
      <c r="F101" s="1" t="s">
        <v>55</v>
      </c>
      <c r="G101" s="1" t="s">
        <v>32</v>
      </c>
      <c r="H101" s="1" t="s">
        <v>51</v>
      </c>
      <c r="I101" s="1" t="s">
        <v>13</v>
      </c>
      <c r="J101" s="1" t="s">
        <v>34</v>
      </c>
    </row>
    <row r="102" customFormat="false" ht="15" hidden="false" customHeight="true" outlineLevel="0" collapsed="false">
      <c r="A102" s="1" t="n">
        <v>101</v>
      </c>
      <c r="B102" s="1" t="s">
        <v>281</v>
      </c>
      <c r="C102" s="1" t="s">
        <v>282</v>
      </c>
      <c r="D102" s="1" t="s">
        <v>283</v>
      </c>
      <c r="E102" s="1" t="n">
        <v>28368.06</v>
      </c>
      <c r="F102" s="1" t="s">
        <v>31</v>
      </c>
      <c r="G102" s="1" t="s">
        <v>32</v>
      </c>
      <c r="H102" s="1" t="s">
        <v>41</v>
      </c>
      <c r="I102" s="1" t="s">
        <v>10</v>
      </c>
      <c r="J102" s="1" t="s">
        <v>34</v>
      </c>
    </row>
    <row r="103" customFormat="false" ht="15" hidden="false" customHeight="true" outlineLevel="0" collapsed="false">
      <c r="A103" s="1" t="n">
        <v>102</v>
      </c>
      <c r="B103" s="1" t="s">
        <v>281</v>
      </c>
      <c r="C103" s="1" t="s">
        <v>282</v>
      </c>
      <c r="D103" s="1" t="s">
        <v>283</v>
      </c>
      <c r="E103" s="1" t="n">
        <v>28368.06</v>
      </c>
      <c r="F103" s="1" t="s">
        <v>31</v>
      </c>
      <c r="G103" s="1" t="s">
        <v>32</v>
      </c>
      <c r="H103" s="1" t="s">
        <v>41</v>
      </c>
      <c r="I103" s="1" t="s">
        <v>12</v>
      </c>
      <c r="J103" s="1" t="s">
        <v>35</v>
      </c>
    </row>
    <row r="104" customFormat="false" ht="15" hidden="false" customHeight="true" outlineLevel="0" collapsed="false">
      <c r="A104" s="1" t="n">
        <v>103</v>
      </c>
      <c r="B104" s="1" t="s">
        <v>284</v>
      </c>
      <c r="C104" s="1" t="s">
        <v>285</v>
      </c>
      <c r="D104" s="1" t="s">
        <v>286</v>
      </c>
      <c r="E104" s="1" t="n">
        <v>2597.22</v>
      </c>
      <c r="F104" s="1" t="s">
        <v>39</v>
      </c>
      <c r="G104" s="1" t="s">
        <v>50</v>
      </c>
      <c r="H104" s="1" t="s">
        <v>33</v>
      </c>
      <c r="I104" s="1" t="s">
        <v>10</v>
      </c>
      <c r="J104" s="1" t="s">
        <v>34</v>
      </c>
    </row>
    <row r="105" customFormat="false" ht="15" hidden="false" customHeight="true" outlineLevel="0" collapsed="false">
      <c r="A105" s="1" t="n">
        <v>104</v>
      </c>
      <c r="B105" s="1" t="s">
        <v>287</v>
      </c>
      <c r="C105" s="1" t="s">
        <v>288</v>
      </c>
      <c r="D105" s="1" t="s">
        <v>289</v>
      </c>
      <c r="E105" s="1" t="n">
        <v>48062.51</v>
      </c>
      <c r="F105" s="1" t="s">
        <v>55</v>
      </c>
      <c r="G105" s="1" t="s">
        <v>211</v>
      </c>
      <c r="H105" s="1" t="s">
        <v>65</v>
      </c>
      <c r="I105" s="1" t="s">
        <v>13</v>
      </c>
      <c r="J105" s="1" t="s">
        <v>34</v>
      </c>
    </row>
    <row r="106" customFormat="false" ht="15" hidden="false" customHeight="true" outlineLevel="0" collapsed="false">
      <c r="A106" s="1" t="n">
        <v>105</v>
      </c>
      <c r="B106" s="1" t="s">
        <v>290</v>
      </c>
      <c r="C106" s="1" t="s">
        <v>291</v>
      </c>
      <c r="D106" s="1" t="s">
        <v>292</v>
      </c>
      <c r="E106" s="1" t="n">
        <v>28284.25</v>
      </c>
      <c r="F106" s="1" t="s">
        <v>79</v>
      </c>
      <c r="G106" s="1" t="s">
        <v>50</v>
      </c>
      <c r="H106" s="1" t="s">
        <v>57</v>
      </c>
      <c r="I106" s="1" t="s">
        <v>10</v>
      </c>
      <c r="J106" s="1" t="s">
        <v>34</v>
      </c>
    </row>
    <row r="107" customFormat="false" ht="15" hidden="false" customHeight="true" outlineLevel="0" collapsed="false">
      <c r="A107" s="1" t="n">
        <v>106</v>
      </c>
      <c r="B107" s="1" t="s">
        <v>293</v>
      </c>
      <c r="C107" s="1" t="s">
        <v>294</v>
      </c>
      <c r="D107" s="1" t="s">
        <v>295</v>
      </c>
      <c r="E107" s="1" t="n">
        <v>42824.39</v>
      </c>
      <c r="F107" s="1" t="s">
        <v>91</v>
      </c>
      <c r="G107" s="1" t="s">
        <v>80</v>
      </c>
      <c r="H107" s="1" t="s">
        <v>41</v>
      </c>
      <c r="I107" s="1" t="s">
        <v>13</v>
      </c>
      <c r="J107" s="1" t="s">
        <v>34</v>
      </c>
    </row>
    <row r="108" customFormat="false" ht="15" hidden="false" customHeight="true" outlineLevel="0" collapsed="false">
      <c r="A108" s="1" t="n">
        <v>107</v>
      </c>
      <c r="B108" s="1" t="s">
        <v>296</v>
      </c>
      <c r="C108" s="1" t="s">
        <v>297</v>
      </c>
      <c r="D108" s="1" t="s">
        <v>298</v>
      </c>
      <c r="E108" s="1" t="n">
        <v>38875.67</v>
      </c>
      <c r="F108" s="1" t="s">
        <v>31</v>
      </c>
      <c r="G108" s="1" t="s">
        <v>166</v>
      </c>
      <c r="H108" s="1" t="s">
        <v>41</v>
      </c>
      <c r="I108" s="1" t="s">
        <v>12</v>
      </c>
      <c r="J108" s="1" t="s">
        <v>35</v>
      </c>
    </row>
    <row r="109" customFormat="false" ht="15" hidden="false" customHeight="true" outlineLevel="0" collapsed="false">
      <c r="A109" s="1" t="n">
        <v>108</v>
      </c>
      <c r="B109" s="1" t="s">
        <v>299</v>
      </c>
      <c r="C109" s="1" t="s">
        <v>300</v>
      </c>
      <c r="D109" s="1" t="s">
        <v>301</v>
      </c>
      <c r="E109" s="1" t="n">
        <v>37594.01</v>
      </c>
      <c r="F109" s="1" t="s">
        <v>31</v>
      </c>
      <c r="G109" s="1" t="s">
        <v>40</v>
      </c>
      <c r="H109" s="1" t="s">
        <v>65</v>
      </c>
      <c r="I109" s="1" t="s">
        <v>12</v>
      </c>
      <c r="J109" s="1" t="s">
        <v>35</v>
      </c>
    </row>
    <row r="110" customFormat="false" ht="15" hidden="false" customHeight="true" outlineLevel="0" collapsed="false">
      <c r="A110" s="1" t="n">
        <v>109</v>
      </c>
      <c r="B110" s="1" t="s">
        <v>302</v>
      </c>
      <c r="C110" s="1" t="s">
        <v>303</v>
      </c>
      <c r="D110" s="1" t="s">
        <v>304</v>
      </c>
      <c r="E110" s="1" t="n">
        <v>7579.43</v>
      </c>
      <c r="F110" s="1" t="s">
        <v>39</v>
      </c>
      <c r="G110" s="1" t="s">
        <v>32</v>
      </c>
      <c r="H110" s="1" t="s">
        <v>61</v>
      </c>
      <c r="I110" s="1" t="s">
        <v>10</v>
      </c>
      <c r="J110" s="1" t="s">
        <v>34</v>
      </c>
    </row>
    <row r="111" customFormat="false" ht="15" hidden="false" customHeight="true" outlineLevel="0" collapsed="false">
      <c r="A111" s="1" t="n">
        <v>110</v>
      </c>
      <c r="B111" s="1" t="s">
        <v>305</v>
      </c>
      <c r="C111" s="1" t="s">
        <v>306</v>
      </c>
      <c r="D111" s="1" t="s">
        <v>307</v>
      </c>
      <c r="E111" s="1" t="n">
        <v>21427.38</v>
      </c>
      <c r="F111" s="1" t="s">
        <v>91</v>
      </c>
      <c r="G111" s="1" t="s">
        <v>56</v>
      </c>
      <c r="H111" s="1" t="s">
        <v>57</v>
      </c>
      <c r="I111" s="1" t="s">
        <v>10</v>
      </c>
      <c r="J111" s="1" t="s">
        <v>34</v>
      </c>
    </row>
    <row r="112" customFormat="false" ht="15" hidden="false" customHeight="true" outlineLevel="0" collapsed="false">
      <c r="A112" s="1" t="n">
        <v>111</v>
      </c>
      <c r="B112" s="1" t="s">
        <v>308</v>
      </c>
      <c r="C112" s="1" t="s">
        <v>309</v>
      </c>
      <c r="D112" s="1" t="s">
        <v>184</v>
      </c>
      <c r="E112" s="1" t="n">
        <v>21401.62</v>
      </c>
      <c r="F112" s="1" t="s">
        <v>31</v>
      </c>
      <c r="G112" s="1" t="s">
        <v>166</v>
      </c>
      <c r="H112" s="1" t="s">
        <v>65</v>
      </c>
      <c r="I112" s="1" t="s">
        <v>12</v>
      </c>
      <c r="J112" s="1" t="s">
        <v>35</v>
      </c>
    </row>
    <row r="113" customFormat="false" ht="15" hidden="false" customHeight="true" outlineLevel="0" collapsed="false">
      <c r="A113" s="1" t="n">
        <v>112</v>
      </c>
      <c r="B113" s="1" t="s">
        <v>310</v>
      </c>
      <c r="C113" s="1" t="s">
        <v>311</v>
      </c>
      <c r="D113" s="1" t="s">
        <v>312</v>
      </c>
      <c r="E113" s="1" t="n">
        <v>9749.4</v>
      </c>
      <c r="F113" s="1" t="s">
        <v>91</v>
      </c>
      <c r="G113" s="1" t="s">
        <v>32</v>
      </c>
      <c r="H113" s="1" t="s">
        <v>51</v>
      </c>
      <c r="I113" s="1" t="s">
        <v>10</v>
      </c>
      <c r="J113" s="1" t="s">
        <v>34</v>
      </c>
    </row>
    <row r="114" customFormat="false" ht="15" hidden="false" customHeight="true" outlineLevel="0" collapsed="false">
      <c r="A114" s="1" t="n">
        <v>113</v>
      </c>
      <c r="B114" s="1" t="s">
        <v>313</v>
      </c>
      <c r="C114" s="1" t="s">
        <v>314</v>
      </c>
      <c r="D114" s="1" t="s">
        <v>315</v>
      </c>
      <c r="E114" s="1" t="n">
        <v>44361.94</v>
      </c>
      <c r="F114" s="1" t="s">
        <v>55</v>
      </c>
      <c r="G114" s="1" t="s">
        <v>84</v>
      </c>
      <c r="H114" s="1" t="s">
        <v>57</v>
      </c>
      <c r="I114" s="1" t="s">
        <v>10</v>
      </c>
      <c r="J114" s="1" t="s">
        <v>34</v>
      </c>
    </row>
    <row r="115" customFormat="false" ht="15" hidden="false" customHeight="true" outlineLevel="0" collapsed="false">
      <c r="A115" s="1" t="n">
        <v>114</v>
      </c>
      <c r="B115" s="1" t="s">
        <v>313</v>
      </c>
      <c r="C115" s="1" t="s">
        <v>314</v>
      </c>
      <c r="D115" s="1" t="s">
        <v>315</v>
      </c>
      <c r="E115" s="1" t="n">
        <v>44361.94</v>
      </c>
      <c r="F115" s="1" t="s">
        <v>55</v>
      </c>
      <c r="G115" s="1" t="s">
        <v>84</v>
      </c>
      <c r="H115" s="1" t="s">
        <v>57</v>
      </c>
      <c r="I115" s="1" t="s">
        <v>13</v>
      </c>
      <c r="J115" s="1" t="s">
        <v>34</v>
      </c>
    </row>
    <row r="116" customFormat="false" ht="15" hidden="false" customHeight="true" outlineLevel="0" collapsed="false">
      <c r="A116" s="1" t="n">
        <v>115</v>
      </c>
      <c r="B116" s="1" t="s">
        <v>316</v>
      </c>
      <c r="C116" s="1" t="s">
        <v>317</v>
      </c>
      <c r="D116" s="1" t="s">
        <v>318</v>
      </c>
      <c r="E116" s="1" t="n">
        <v>30454.07</v>
      </c>
      <c r="F116" s="1" t="s">
        <v>31</v>
      </c>
      <c r="G116" s="1" t="s">
        <v>56</v>
      </c>
      <c r="H116" s="1" t="s">
        <v>41</v>
      </c>
      <c r="I116" s="1" t="s">
        <v>10</v>
      </c>
      <c r="J116" s="1" t="s">
        <v>34</v>
      </c>
    </row>
    <row r="117" customFormat="false" ht="15" hidden="false" customHeight="true" outlineLevel="0" collapsed="false">
      <c r="A117" s="1" t="n">
        <v>116</v>
      </c>
      <c r="B117" s="1" t="s">
        <v>316</v>
      </c>
      <c r="C117" s="1" t="s">
        <v>317</v>
      </c>
      <c r="D117" s="1" t="s">
        <v>318</v>
      </c>
      <c r="E117" s="1" t="n">
        <v>30454.07</v>
      </c>
      <c r="F117" s="1" t="s">
        <v>31</v>
      </c>
      <c r="G117" s="1" t="s">
        <v>56</v>
      </c>
      <c r="H117" s="1" t="s">
        <v>41</v>
      </c>
      <c r="I117" s="1" t="s">
        <v>12</v>
      </c>
      <c r="J117" s="1" t="s">
        <v>35</v>
      </c>
    </row>
    <row r="118" customFormat="false" ht="15" hidden="false" customHeight="true" outlineLevel="0" collapsed="false">
      <c r="A118" s="1" t="n">
        <v>117</v>
      </c>
      <c r="B118" s="1" t="s">
        <v>319</v>
      </c>
      <c r="C118" s="1" t="s">
        <v>320</v>
      </c>
      <c r="D118" s="1" t="s">
        <v>321</v>
      </c>
      <c r="E118" s="1" t="n">
        <v>33875.45</v>
      </c>
      <c r="F118" s="1" t="s">
        <v>39</v>
      </c>
      <c r="G118" s="1" t="s">
        <v>72</v>
      </c>
      <c r="H118" s="1" t="s">
        <v>57</v>
      </c>
      <c r="I118" s="1" t="s">
        <v>11</v>
      </c>
      <c r="J118" s="1" t="s">
        <v>35</v>
      </c>
    </row>
    <row r="119" customFormat="false" ht="15" hidden="false" customHeight="true" outlineLevel="0" collapsed="false">
      <c r="A119" s="1" t="n">
        <v>118</v>
      </c>
      <c r="B119" s="1" t="s">
        <v>322</v>
      </c>
      <c r="C119" s="1" t="s">
        <v>323</v>
      </c>
      <c r="D119" s="1" t="s">
        <v>324</v>
      </c>
      <c r="E119" s="1" t="n">
        <v>17370.77</v>
      </c>
      <c r="F119" s="1" t="s">
        <v>39</v>
      </c>
      <c r="G119" s="1" t="s">
        <v>45</v>
      </c>
      <c r="H119" s="1" t="s">
        <v>51</v>
      </c>
      <c r="I119" s="1" t="s">
        <v>11</v>
      </c>
      <c r="J119" s="1" t="s">
        <v>35</v>
      </c>
    </row>
    <row r="120" customFormat="false" ht="15" hidden="false" customHeight="true" outlineLevel="0" collapsed="false">
      <c r="A120" s="1" t="n">
        <v>119</v>
      </c>
      <c r="B120" s="1" t="s">
        <v>325</v>
      </c>
      <c r="C120" s="1" t="s">
        <v>326</v>
      </c>
      <c r="D120" s="1" t="s">
        <v>123</v>
      </c>
      <c r="E120" s="1" t="n">
        <v>34542.95</v>
      </c>
      <c r="F120" s="1" t="s">
        <v>31</v>
      </c>
      <c r="G120" s="1" t="s">
        <v>84</v>
      </c>
      <c r="H120" s="1" t="s">
        <v>65</v>
      </c>
      <c r="I120" s="1" t="s">
        <v>10</v>
      </c>
      <c r="J120" s="1" t="s">
        <v>34</v>
      </c>
    </row>
    <row r="121" customFormat="false" ht="15" hidden="false" customHeight="true" outlineLevel="0" collapsed="false">
      <c r="A121" s="1" t="n">
        <v>120</v>
      </c>
      <c r="B121" s="1" t="s">
        <v>325</v>
      </c>
      <c r="C121" s="1" t="s">
        <v>326</v>
      </c>
      <c r="D121" s="1" t="s">
        <v>123</v>
      </c>
      <c r="E121" s="1" t="n">
        <v>34542.95</v>
      </c>
      <c r="F121" s="1" t="s">
        <v>31</v>
      </c>
      <c r="G121" s="1" t="s">
        <v>84</v>
      </c>
      <c r="H121" s="1" t="s">
        <v>65</v>
      </c>
      <c r="I121" s="1" t="s">
        <v>12</v>
      </c>
      <c r="J121" s="1" t="s">
        <v>35</v>
      </c>
    </row>
    <row r="122" customFormat="false" ht="15" hidden="false" customHeight="true" outlineLevel="0" collapsed="false">
      <c r="A122" s="1" t="n">
        <v>121</v>
      </c>
      <c r="B122" s="1" t="s">
        <v>327</v>
      </c>
      <c r="C122" s="1" t="s">
        <v>328</v>
      </c>
      <c r="D122" s="1" t="s">
        <v>329</v>
      </c>
      <c r="E122" s="1" t="n">
        <v>37003.75</v>
      </c>
      <c r="F122" s="1" t="s">
        <v>39</v>
      </c>
      <c r="G122" s="1" t="s">
        <v>45</v>
      </c>
      <c r="H122" s="1" t="s">
        <v>41</v>
      </c>
      <c r="I122" s="1" t="s">
        <v>11</v>
      </c>
      <c r="J122" s="1" t="s">
        <v>35</v>
      </c>
    </row>
    <row r="123" customFormat="false" ht="15" hidden="false" customHeight="true" outlineLevel="0" collapsed="false">
      <c r="A123" s="1" t="n">
        <v>122</v>
      </c>
      <c r="B123" s="1" t="s">
        <v>330</v>
      </c>
      <c r="C123" s="1" t="s">
        <v>331</v>
      </c>
      <c r="D123" s="1" t="s">
        <v>332</v>
      </c>
      <c r="E123" s="1" t="n">
        <v>42052.47</v>
      </c>
      <c r="F123" s="1" t="s">
        <v>39</v>
      </c>
      <c r="G123" s="1" t="s">
        <v>191</v>
      </c>
      <c r="H123" s="1" t="s">
        <v>33</v>
      </c>
      <c r="I123" s="1" t="s">
        <v>11</v>
      </c>
      <c r="J123" s="1" t="s">
        <v>35</v>
      </c>
    </row>
    <row r="124" customFormat="false" ht="15" hidden="false" customHeight="true" outlineLevel="0" collapsed="false">
      <c r="A124" s="1" t="n">
        <v>123</v>
      </c>
      <c r="B124" s="1" t="s">
        <v>330</v>
      </c>
      <c r="C124" s="1" t="s">
        <v>331</v>
      </c>
      <c r="D124" s="1" t="s">
        <v>332</v>
      </c>
      <c r="E124" s="1" t="n">
        <v>42052.47</v>
      </c>
      <c r="F124" s="1" t="s">
        <v>39</v>
      </c>
      <c r="G124" s="1" t="s">
        <v>191</v>
      </c>
      <c r="H124" s="1" t="s">
        <v>33</v>
      </c>
      <c r="I124" s="1" t="s">
        <v>13</v>
      </c>
      <c r="J124" s="1" t="s">
        <v>34</v>
      </c>
    </row>
    <row r="125" customFormat="false" ht="15" hidden="false" customHeight="true" outlineLevel="0" collapsed="false">
      <c r="A125" s="1" t="n">
        <v>124</v>
      </c>
      <c r="B125" s="1" t="s">
        <v>333</v>
      </c>
      <c r="C125" s="1" t="s">
        <v>334</v>
      </c>
      <c r="D125" s="1" t="s">
        <v>335</v>
      </c>
      <c r="E125" s="1" t="n">
        <v>28037.6</v>
      </c>
      <c r="F125" s="1" t="s">
        <v>39</v>
      </c>
      <c r="G125" s="1" t="s">
        <v>198</v>
      </c>
      <c r="H125" s="1" t="s">
        <v>57</v>
      </c>
      <c r="I125" s="1" t="s">
        <v>11</v>
      </c>
      <c r="J125" s="1" t="s">
        <v>35</v>
      </c>
    </row>
    <row r="126" customFormat="false" ht="15" hidden="false" customHeight="true" outlineLevel="0" collapsed="false">
      <c r="A126" s="1" t="n">
        <v>125</v>
      </c>
      <c r="B126" s="1" t="s">
        <v>336</v>
      </c>
      <c r="C126" s="1" t="s">
        <v>337</v>
      </c>
      <c r="D126" s="1" t="s">
        <v>338</v>
      </c>
      <c r="E126" s="1" t="n">
        <v>11917.97</v>
      </c>
      <c r="F126" s="1" t="s">
        <v>31</v>
      </c>
      <c r="G126" s="1" t="s">
        <v>45</v>
      </c>
      <c r="H126" s="1" t="s">
        <v>61</v>
      </c>
      <c r="I126" s="1" t="s">
        <v>12</v>
      </c>
      <c r="J126" s="1" t="s">
        <v>35</v>
      </c>
    </row>
    <row r="127" customFormat="false" ht="15" hidden="false" customHeight="true" outlineLevel="0" collapsed="false">
      <c r="A127" s="1" t="n">
        <v>126</v>
      </c>
      <c r="B127" s="1" t="s">
        <v>339</v>
      </c>
      <c r="C127" s="1" t="s">
        <v>340</v>
      </c>
      <c r="D127" s="1" t="s">
        <v>341</v>
      </c>
      <c r="E127" s="1" t="n">
        <v>2560.94</v>
      </c>
      <c r="F127" s="1" t="s">
        <v>49</v>
      </c>
      <c r="G127" s="1" t="s">
        <v>56</v>
      </c>
      <c r="H127" s="1" t="s">
        <v>65</v>
      </c>
      <c r="I127" s="1" t="s">
        <v>10</v>
      </c>
      <c r="J127" s="1" t="s">
        <v>34</v>
      </c>
    </row>
    <row r="128" customFormat="false" ht="15" hidden="false" customHeight="true" outlineLevel="0" collapsed="false">
      <c r="A128" s="1" t="n">
        <v>127</v>
      </c>
      <c r="B128" s="1" t="s">
        <v>342</v>
      </c>
      <c r="C128" s="1" t="s">
        <v>343</v>
      </c>
      <c r="D128" s="1" t="s">
        <v>344</v>
      </c>
      <c r="E128" s="1" t="n">
        <v>48654.89</v>
      </c>
      <c r="F128" s="1" t="s">
        <v>55</v>
      </c>
      <c r="G128" s="1" t="s">
        <v>114</v>
      </c>
      <c r="H128" s="1" t="s">
        <v>41</v>
      </c>
      <c r="I128" s="1" t="s">
        <v>13</v>
      </c>
      <c r="J128" s="1" t="s">
        <v>34</v>
      </c>
    </row>
    <row r="129" customFormat="false" ht="15" hidden="false" customHeight="true" outlineLevel="0" collapsed="false">
      <c r="A129" s="1" t="n">
        <v>128</v>
      </c>
      <c r="B129" s="1" t="s">
        <v>345</v>
      </c>
      <c r="C129" s="1" t="s">
        <v>346</v>
      </c>
      <c r="D129" s="1" t="s">
        <v>347</v>
      </c>
      <c r="E129" s="1" t="n">
        <v>48724.49</v>
      </c>
      <c r="F129" s="1" t="s">
        <v>49</v>
      </c>
      <c r="G129" s="1" t="s">
        <v>198</v>
      </c>
      <c r="H129" s="1" t="s">
        <v>51</v>
      </c>
      <c r="I129" s="1" t="s">
        <v>13</v>
      </c>
      <c r="J129" s="1" t="s">
        <v>34</v>
      </c>
    </row>
    <row r="130" customFormat="false" ht="15" hidden="false" customHeight="true" outlineLevel="0" collapsed="false">
      <c r="A130" s="1" t="n">
        <v>129</v>
      </c>
      <c r="B130" s="1" t="s">
        <v>348</v>
      </c>
      <c r="C130" s="1" t="s">
        <v>349</v>
      </c>
      <c r="D130" s="1" t="s">
        <v>197</v>
      </c>
      <c r="E130" s="1" t="n">
        <v>48009.31</v>
      </c>
      <c r="F130" s="1" t="s">
        <v>49</v>
      </c>
      <c r="G130" s="1" t="s">
        <v>45</v>
      </c>
      <c r="H130" s="1" t="s">
        <v>51</v>
      </c>
      <c r="I130" s="1" t="s">
        <v>13</v>
      </c>
      <c r="J130" s="1" t="s">
        <v>34</v>
      </c>
    </row>
    <row r="131" customFormat="false" ht="15" hidden="false" customHeight="true" outlineLevel="0" collapsed="false">
      <c r="A131" s="1" t="n">
        <v>130</v>
      </c>
      <c r="B131" s="1" t="s">
        <v>350</v>
      </c>
      <c r="C131" s="1" t="s">
        <v>351</v>
      </c>
      <c r="D131" s="1" t="s">
        <v>138</v>
      </c>
      <c r="E131" s="1" t="n">
        <v>1724.44</v>
      </c>
      <c r="F131" s="1" t="s">
        <v>31</v>
      </c>
      <c r="G131" s="1" t="s">
        <v>56</v>
      </c>
      <c r="H131" s="1" t="s">
        <v>33</v>
      </c>
      <c r="I131" s="1" t="s">
        <v>10</v>
      </c>
      <c r="J131" s="1" t="s">
        <v>34</v>
      </c>
    </row>
    <row r="132" customFormat="false" ht="15" hidden="false" customHeight="true" outlineLevel="0" collapsed="false">
      <c r="A132" s="1" t="n">
        <v>131</v>
      </c>
      <c r="B132" s="1" t="s">
        <v>352</v>
      </c>
      <c r="C132" s="1" t="s">
        <v>353</v>
      </c>
      <c r="D132" s="1" t="s">
        <v>354</v>
      </c>
      <c r="E132" s="1" t="n">
        <v>38278.68</v>
      </c>
      <c r="F132" s="1" t="s">
        <v>55</v>
      </c>
      <c r="G132" s="1" t="s">
        <v>84</v>
      </c>
      <c r="H132" s="1" t="s">
        <v>61</v>
      </c>
      <c r="I132" s="1" t="s">
        <v>10</v>
      </c>
      <c r="J132" s="1" t="s">
        <v>34</v>
      </c>
    </row>
    <row r="133" customFormat="false" ht="15" hidden="false" customHeight="true" outlineLevel="0" collapsed="false">
      <c r="A133" s="1" t="n">
        <v>132</v>
      </c>
      <c r="B133" s="1" t="s">
        <v>355</v>
      </c>
      <c r="C133" s="1" t="s">
        <v>356</v>
      </c>
      <c r="D133" s="1" t="s">
        <v>357</v>
      </c>
      <c r="E133" s="1" t="n">
        <v>46512.22</v>
      </c>
      <c r="F133" s="1" t="s">
        <v>55</v>
      </c>
      <c r="G133" s="1" t="s">
        <v>72</v>
      </c>
      <c r="H133" s="1" t="s">
        <v>51</v>
      </c>
      <c r="I133" s="1" t="s">
        <v>13</v>
      </c>
      <c r="J133" s="1" t="s">
        <v>34</v>
      </c>
    </row>
    <row r="134" customFormat="false" ht="15" hidden="false" customHeight="true" outlineLevel="0" collapsed="false">
      <c r="A134" s="1" t="n">
        <v>133</v>
      </c>
      <c r="B134" s="1" t="s">
        <v>358</v>
      </c>
      <c r="C134" s="1" t="s">
        <v>359</v>
      </c>
      <c r="D134" s="1" t="s">
        <v>87</v>
      </c>
      <c r="E134" s="1" t="n">
        <v>44335.94</v>
      </c>
      <c r="F134" s="1" t="s">
        <v>31</v>
      </c>
      <c r="G134" s="1" t="s">
        <v>128</v>
      </c>
      <c r="H134" s="1" t="s">
        <v>51</v>
      </c>
      <c r="I134" s="1" t="s">
        <v>12</v>
      </c>
      <c r="J134" s="1" t="s">
        <v>35</v>
      </c>
    </row>
    <row r="135" customFormat="false" ht="15" hidden="false" customHeight="true" outlineLevel="0" collapsed="false">
      <c r="A135" s="1" t="n">
        <v>134</v>
      </c>
      <c r="B135" s="1" t="s">
        <v>358</v>
      </c>
      <c r="C135" s="1" t="s">
        <v>359</v>
      </c>
      <c r="D135" s="1" t="s">
        <v>87</v>
      </c>
      <c r="E135" s="1" t="n">
        <v>44335.94</v>
      </c>
      <c r="F135" s="1" t="s">
        <v>31</v>
      </c>
      <c r="G135" s="1" t="s">
        <v>128</v>
      </c>
      <c r="H135" s="1" t="s">
        <v>51</v>
      </c>
      <c r="I135" s="1" t="s">
        <v>13</v>
      </c>
      <c r="J135" s="1" t="s">
        <v>34</v>
      </c>
    </row>
    <row r="136" customFormat="false" ht="15" hidden="false" customHeight="true" outlineLevel="0" collapsed="false">
      <c r="A136" s="1" t="n">
        <v>135</v>
      </c>
      <c r="B136" s="1" t="s">
        <v>360</v>
      </c>
      <c r="C136" s="1" t="s">
        <v>361</v>
      </c>
      <c r="D136" s="1" t="s">
        <v>307</v>
      </c>
      <c r="E136" s="1" t="n">
        <v>10610.51</v>
      </c>
      <c r="F136" s="1" t="s">
        <v>91</v>
      </c>
      <c r="G136" s="1" t="s">
        <v>84</v>
      </c>
      <c r="H136" s="1" t="s">
        <v>61</v>
      </c>
      <c r="I136" s="1" t="s">
        <v>10</v>
      </c>
      <c r="J136" s="1" t="s">
        <v>34</v>
      </c>
    </row>
    <row r="137" customFormat="false" ht="15" hidden="false" customHeight="true" outlineLevel="0" collapsed="false">
      <c r="A137" s="1" t="n">
        <v>136</v>
      </c>
      <c r="B137" s="1" t="s">
        <v>362</v>
      </c>
      <c r="C137" s="1" t="s">
        <v>363</v>
      </c>
      <c r="D137" s="1" t="s">
        <v>364</v>
      </c>
      <c r="E137" s="1" t="n">
        <v>11334.87</v>
      </c>
      <c r="F137" s="1" t="s">
        <v>39</v>
      </c>
      <c r="G137" s="1" t="s">
        <v>191</v>
      </c>
      <c r="H137" s="1" t="s">
        <v>41</v>
      </c>
      <c r="I137" s="1" t="s">
        <v>11</v>
      </c>
      <c r="J137" s="1" t="s">
        <v>35</v>
      </c>
    </row>
    <row r="138" customFormat="false" ht="15" hidden="false" customHeight="true" outlineLevel="0" collapsed="false">
      <c r="A138" s="1" t="n">
        <v>137</v>
      </c>
      <c r="B138" s="1" t="s">
        <v>365</v>
      </c>
      <c r="C138" s="1" t="s">
        <v>366</v>
      </c>
      <c r="D138" s="1" t="s">
        <v>367</v>
      </c>
      <c r="E138" s="1" t="n">
        <v>12133.68</v>
      </c>
      <c r="F138" s="1" t="s">
        <v>39</v>
      </c>
      <c r="G138" s="1" t="s">
        <v>84</v>
      </c>
      <c r="H138" s="1" t="s">
        <v>41</v>
      </c>
      <c r="I138" s="1" t="s">
        <v>10</v>
      </c>
      <c r="J138" s="1" t="s">
        <v>34</v>
      </c>
    </row>
    <row r="139" customFormat="false" ht="15" hidden="false" customHeight="true" outlineLevel="0" collapsed="false">
      <c r="A139" s="1" t="n">
        <v>138</v>
      </c>
      <c r="B139" s="1" t="s">
        <v>365</v>
      </c>
      <c r="C139" s="1" t="s">
        <v>366</v>
      </c>
      <c r="D139" s="1" t="s">
        <v>367</v>
      </c>
      <c r="E139" s="1" t="n">
        <v>12133.68</v>
      </c>
      <c r="F139" s="1" t="s">
        <v>39</v>
      </c>
      <c r="G139" s="1" t="s">
        <v>84</v>
      </c>
      <c r="H139" s="1" t="s">
        <v>41</v>
      </c>
      <c r="I139" s="1" t="s">
        <v>11</v>
      </c>
      <c r="J139" s="1" t="s">
        <v>35</v>
      </c>
    </row>
    <row r="140" customFormat="false" ht="15" hidden="false" customHeight="true" outlineLevel="0" collapsed="false">
      <c r="A140" s="1" t="n">
        <v>139</v>
      </c>
      <c r="B140" s="1" t="s">
        <v>368</v>
      </c>
      <c r="C140" s="1" t="s">
        <v>369</v>
      </c>
      <c r="D140" s="1" t="s">
        <v>370</v>
      </c>
      <c r="E140" s="1" t="n">
        <v>30517.76</v>
      </c>
      <c r="F140" s="1" t="s">
        <v>31</v>
      </c>
      <c r="G140" s="1" t="s">
        <v>166</v>
      </c>
      <c r="H140" s="1" t="s">
        <v>51</v>
      </c>
      <c r="I140" s="1" t="s">
        <v>12</v>
      </c>
      <c r="J140" s="1" t="s">
        <v>35</v>
      </c>
    </row>
    <row r="141" customFormat="false" ht="15" hidden="false" customHeight="true" outlineLevel="0" collapsed="false">
      <c r="A141" s="1" t="n">
        <v>140</v>
      </c>
      <c r="B141" s="1" t="s">
        <v>371</v>
      </c>
      <c r="C141" s="1" t="s">
        <v>372</v>
      </c>
      <c r="D141" s="1" t="s">
        <v>373</v>
      </c>
      <c r="E141" s="1" t="n">
        <v>44052.01</v>
      </c>
      <c r="F141" s="1" t="s">
        <v>79</v>
      </c>
      <c r="G141" s="1" t="s">
        <v>114</v>
      </c>
      <c r="H141" s="1" t="s">
        <v>41</v>
      </c>
      <c r="I141" s="1" t="s">
        <v>13</v>
      </c>
      <c r="J141" s="1" t="s">
        <v>34</v>
      </c>
    </row>
    <row r="142" customFormat="false" ht="15" hidden="false" customHeight="true" outlineLevel="0" collapsed="false">
      <c r="A142" s="1" t="n">
        <v>141</v>
      </c>
      <c r="B142" s="1" t="s">
        <v>374</v>
      </c>
      <c r="C142" s="1" t="s">
        <v>375</v>
      </c>
      <c r="D142" s="1" t="s">
        <v>376</v>
      </c>
      <c r="E142" s="1" t="n">
        <v>27315.53</v>
      </c>
      <c r="F142" s="1" t="s">
        <v>55</v>
      </c>
      <c r="G142" s="1" t="s">
        <v>50</v>
      </c>
      <c r="H142" s="1" t="s">
        <v>57</v>
      </c>
      <c r="I142" s="1" t="s">
        <v>10</v>
      </c>
      <c r="J142" s="1" t="s">
        <v>34</v>
      </c>
    </row>
    <row r="143" customFormat="false" ht="15" hidden="false" customHeight="true" outlineLevel="0" collapsed="false">
      <c r="A143" s="1" t="n">
        <v>142</v>
      </c>
      <c r="B143" s="1" t="s">
        <v>377</v>
      </c>
      <c r="C143" s="1" t="s">
        <v>378</v>
      </c>
      <c r="D143" s="1" t="s">
        <v>379</v>
      </c>
      <c r="E143" s="1" t="n">
        <v>15367.23</v>
      </c>
      <c r="F143" s="1" t="s">
        <v>39</v>
      </c>
      <c r="G143" s="1" t="s">
        <v>135</v>
      </c>
      <c r="H143" s="1" t="s">
        <v>57</v>
      </c>
      <c r="I143" s="1" t="s">
        <v>11</v>
      </c>
      <c r="J143" s="1" t="s">
        <v>35</v>
      </c>
    </row>
    <row r="144" customFormat="false" ht="15" hidden="false" customHeight="true" outlineLevel="0" collapsed="false">
      <c r="A144" s="1" t="n">
        <v>143</v>
      </c>
      <c r="B144" s="1" t="s">
        <v>380</v>
      </c>
      <c r="C144" s="1" t="s">
        <v>381</v>
      </c>
      <c r="D144" s="1" t="s">
        <v>289</v>
      </c>
      <c r="E144" s="1" t="n">
        <v>35311.41</v>
      </c>
      <c r="F144" s="1" t="s">
        <v>31</v>
      </c>
      <c r="G144" s="1" t="s">
        <v>135</v>
      </c>
      <c r="H144" s="1" t="s">
        <v>51</v>
      </c>
      <c r="I144" s="1" t="s">
        <v>12</v>
      </c>
      <c r="J144" s="1" t="s">
        <v>35</v>
      </c>
    </row>
    <row r="145" customFormat="false" ht="15" hidden="false" customHeight="true" outlineLevel="0" collapsed="false">
      <c r="A145" s="1" t="n">
        <v>144</v>
      </c>
      <c r="B145" s="1" t="s">
        <v>382</v>
      </c>
      <c r="C145" s="1" t="s">
        <v>383</v>
      </c>
      <c r="D145" s="1" t="s">
        <v>384</v>
      </c>
      <c r="E145" s="1" t="n">
        <v>44684</v>
      </c>
      <c r="F145" s="1" t="s">
        <v>55</v>
      </c>
      <c r="G145" s="1" t="s">
        <v>56</v>
      </c>
      <c r="H145" s="1" t="s">
        <v>61</v>
      </c>
      <c r="I145" s="1" t="s">
        <v>10</v>
      </c>
      <c r="J145" s="1" t="s">
        <v>34</v>
      </c>
    </row>
    <row r="146" customFormat="false" ht="15" hidden="false" customHeight="true" outlineLevel="0" collapsed="false">
      <c r="A146" s="1" t="n">
        <v>145</v>
      </c>
      <c r="B146" s="1" t="s">
        <v>382</v>
      </c>
      <c r="C146" s="1" t="s">
        <v>383</v>
      </c>
      <c r="D146" s="1" t="s">
        <v>384</v>
      </c>
      <c r="E146" s="1" t="n">
        <v>44684</v>
      </c>
      <c r="F146" s="1" t="s">
        <v>55</v>
      </c>
      <c r="G146" s="1" t="s">
        <v>56</v>
      </c>
      <c r="H146" s="1" t="s">
        <v>61</v>
      </c>
      <c r="I146" s="1" t="s">
        <v>13</v>
      </c>
      <c r="J146" s="1" t="s">
        <v>34</v>
      </c>
    </row>
    <row r="147" customFormat="false" ht="15" hidden="false" customHeight="true" outlineLevel="0" collapsed="false">
      <c r="A147" s="1" t="n">
        <v>146</v>
      </c>
      <c r="B147" s="1" t="s">
        <v>385</v>
      </c>
      <c r="C147" s="1" t="s">
        <v>386</v>
      </c>
      <c r="D147" s="1" t="s">
        <v>387</v>
      </c>
      <c r="E147" s="1" t="n">
        <v>43884.03</v>
      </c>
      <c r="F147" s="1" t="s">
        <v>31</v>
      </c>
      <c r="G147" s="1" t="s">
        <v>50</v>
      </c>
      <c r="H147" s="1" t="s">
        <v>57</v>
      </c>
      <c r="I147" s="1" t="s">
        <v>10</v>
      </c>
      <c r="J147" s="1" t="s">
        <v>34</v>
      </c>
    </row>
    <row r="148" customFormat="false" ht="15" hidden="false" customHeight="true" outlineLevel="0" collapsed="false">
      <c r="A148" s="1" t="n">
        <v>147</v>
      </c>
      <c r="B148" s="1" t="s">
        <v>385</v>
      </c>
      <c r="C148" s="1" t="s">
        <v>386</v>
      </c>
      <c r="D148" s="1" t="s">
        <v>387</v>
      </c>
      <c r="E148" s="1" t="n">
        <v>43884.03</v>
      </c>
      <c r="F148" s="1" t="s">
        <v>31</v>
      </c>
      <c r="G148" s="1" t="s">
        <v>50</v>
      </c>
      <c r="H148" s="1" t="s">
        <v>57</v>
      </c>
      <c r="I148" s="1" t="s">
        <v>12</v>
      </c>
      <c r="J148" s="1" t="s">
        <v>35</v>
      </c>
    </row>
    <row r="149" customFormat="false" ht="15" hidden="false" customHeight="true" outlineLevel="0" collapsed="false">
      <c r="A149" s="1" t="n">
        <v>148</v>
      </c>
      <c r="B149" s="1" t="s">
        <v>385</v>
      </c>
      <c r="C149" s="1" t="s">
        <v>386</v>
      </c>
      <c r="D149" s="1" t="s">
        <v>387</v>
      </c>
      <c r="E149" s="1" t="n">
        <v>43884.03</v>
      </c>
      <c r="F149" s="1" t="s">
        <v>31</v>
      </c>
      <c r="G149" s="1" t="s">
        <v>50</v>
      </c>
      <c r="H149" s="1" t="s">
        <v>57</v>
      </c>
      <c r="I149" s="1" t="s">
        <v>13</v>
      </c>
      <c r="J149" s="1" t="s">
        <v>34</v>
      </c>
    </row>
    <row r="150" customFormat="false" ht="15" hidden="false" customHeight="true" outlineLevel="0" collapsed="false">
      <c r="A150" s="1" t="n">
        <v>149</v>
      </c>
      <c r="B150" s="1" t="s">
        <v>388</v>
      </c>
      <c r="C150" s="1" t="s">
        <v>389</v>
      </c>
      <c r="D150" s="1" t="s">
        <v>390</v>
      </c>
      <c r="E150" s="1" t="n">
        <v>47058.89</v>
      </c>
      <c r="F150" s="1" t="s">
        <v>49</v>
      </c>
      <c r="G150" s="1" t="s">
        <v>114</v>
      </c>
      <c r="H150" s="1" t="s">
        <v>61</v>
      </c>
      <c r="I150" s="1" t="s">
        <v>13</v>
      </c>
      <c r="J150" s="1" t="s">
        <v>34</v>
      </c>
    </row>
    <row r="151" customFormat="false" ht="15" hidden="false" customHeight="true" outlineLevel="0" collapsed="false">
      <c r="A151" s="1" t="n">
        <v>150</v>
      </c>
      <c r="B151" s="1" t="s">
        <v>391</v>
      </c>
      <c r="C151" s="1" t="s">
        <v>392</v>
      </c>
      <c r="D151" s="1" t="s">
        <v>393</v>
      </c>
      <c r="E151" s="1" t="n">
        <v>13382.8</v>
      </c>
      <c r="F151" s="1" t="s">
        <v>49</v>
      </c>
      <c r="G151" s="1" t="s">
        <v>56</v>
      </c>
      <c r="H151" s="1" t="s">
        <v>61</v>
      </c>
      <c r="I151" s="1" t="s">
        <v>10</v>
      </c>
      <c r="J151" s="1" t="s">
        <v>34</v>
      </c>
    </row>
    <row r="152" customFormat="false" ht="15" hidden="false" customHeight="true" outlineLevel="0" collapsed="false">
      <c r="A152" s="1" t="n">
        <v>151</v>
      </c>
      <c r="B152" s="1" t="s">
        <v>394</v>
      </c>
      <c r="C152" s="1" t="s">
        <v>395</v>
      </c>
      <c r="D152" s="1" t="s">
        <v>396</v>
      </c>
      <c r="E152" s="1" t="n">
        <v>36939.8</v>
      </c>
      <c r="F152" s="1" t="s">
        <v>39</v>
      </c>
      <c r="G152" s="1" t="s">
        <v>198</v>
      </c>
      <c r="H152" s="1" t="s">
        <v>41</v>
      </c>
      <c r="I152" s="1" t="s">
        <v>11</v>
      </c>
      <c r="J152" s="1" t="s">
        <v>35</v>
      </c>
    </row>
    <row r="153" customFormat="false" ht="15" hidden="false" customHeight="true" outlineLevel="0" collapsed="false">
      <c r="A153" s="1" t="n">
        <v>152</v>
      </c>
      <c r="B153" s="1" t="s">
        <v>397</v>
      </c>
      <c r="C153" s="1" t="s">
        <v>398</v>
      </c>
      <c r="D153" s="1" t="s">
        <v>113</v>
      </c>
      <c r="E153" s="1" t="n">
        <v>42184.29</v>
      </c>
      <c r="F153" s="1" t="s">
        <v>31</v>
      </c>
      <c r="G153" s="1" t="s">
        <v>124</v>
      </c>
      <c r="H153" s="1" t="s">
        <v>65</v>
      </c>
      <c r="I153" s="1" t="s">
        <v>12</v>
      </c>
      <c r="J153" s="1" t="s">
        <v>35</v>
      </c>
    </row>
    <row r="154" customFormat="false" ht="15" hidden="false" customHeight="true" outlineLevel="0" collapsed="false">
      <c r="A154" s="1" t="n">
        <v>153</v>
      </c>
      <c r="B154" s="1" t="s">
        <v>397</v>
      </c>
      <c r="C154" s="1" t="s">
        <v>398</v>
      </c>
      <c r="D154" s="1" t="s">
        <v>113</v>
      </c>
      <c r="E154" s="1" t="n">
        <v>42184.29</v>
      </c>
      <c r="F154" s="1" t="s">
        <v>31</v>
      </c>
      <c r="G154" s="1" t="s">
        <v>124</v>
      </c>
      <c r="H154" s="1" t="s">
        <v>65</v>
      </c>
      <c r="I154" s="1" t="s">
        <v>13</v>
      </c>
      <c r="J154" s="1" t="s">
        <v>34</v>
      </c>
    </row>
    <row r="155" customFormat="false" ht="15" hidden="false" customHeight="true" outlineLevel="0" collapsed="false">
      <c r="A155" s="1" t="n">
        <v>154</v>
      </c>
      <c r="B155" s="1" t="s">
        <v>399</v>
      </c>
      <c r="C155" s="1" t="s">
        <v>400</v>
      </c>
      <c r="D155" s="1" t="s">
        <v>401</v>
      </c>
      <c r="E155" s="1" t="n">
        <v>7738.03</v>
      </c>
      <c r="F155" s="1" t="s">
        <v>39</v>
      </c>
      <c r="G155" s="1" t="s">
        <v>84</v>
      </c>
      <c r="H155" s="1" t="s">
        <v>41</v>
      </c>
      <c r="I155" s="1" t="s">
        <v>10</v>
      </c>
      <c r="J155" s="1" t="s">
        <v>34</v>
      </c>
    </row>
    <row r="156" customFormat="false" ht="15" hidden="false" customHeight="true" outlineLevel="0" collapsed="false">
      <c r="A156" s="1" t="n">
        <v>155</v>
      </c>
      <c r="B156" s="1" t="s">
        <v>402</v>
      </c>
      <c r="C156" s="1" t="s">
        <v>403</v>
      </c>
      <c r="D156" s="1" t="s">
        <v>404</v>
      </c>
      <c r="E156" s="1" t="n">
        <v>1826.58</v>
      </c>
      <c r="F156" s="1" t="s">
        <v>31</v>
      </c>
      <c r="G156" s="1" t="s">
        <v>84</v>
      </c>
      <c r="H156" s="1" t="s">
        <v>61</v>
      </c>
      <c r="I156" s="1" t="s">
        <v>10</v>
      </c>
      <c r="J156" s="1" t="s">
        <v>34</v>
      </c>
    </row>
    <row r="157" customFormat="false" ht="15" hidden="false" customHeight="true" outlineLevel="0" collapsed="false">
      <c r="A157" s="1" t="n">
        <v>156</v>
      </c>
      <c r="B157" s="1" t="s">
        <v>405</v>
      </c>
      <c r="C157" s="1" t="s">
        <v>406</v>
      </c>
      <c r="D157" s="1" t="s">
        <v>407</v>
      </c>
      <c r="E157" s="1" t="n">
        <v>41713.72</v>
      </c>
      <c r="F157" s="1" t="s">
        <v>49</v>
      </c>
      <c r="G157" s="1" t="s">
        <v>72</v>
      </c>
      <c r="H157" s="1" t="s">
        <v>61</v>
      </c>
      <c r="I157" s="1" t="s">
        <v>13</v>
      </c>
      <c r="J157" s="1" t="s">
        <v>34</v>
      </c>
    </row>
    <row r="158" customFormat="false" ht="15" hidden="false" customHeight="true" outlineLevel="0" collapsed="false">
      <c r="A158" s="1" t="n">
        <v>157</v>
      </c>
      <c r="B158" s="1" t="s">
        <v>408</v>
      </c>
      <c r="C158" s="1" t="s">
        <v>409</v>
      </c>
      <c r="D158" s="1" t="s">
        <v>410</v>
      </c>
      <c r="E158" s="1" t="n">
        <v>15114.94</v>
      </c>
      <c r="F158" s="1" t="s">
        <v>39</v>
      </c>
      <c r="G158" s="1" t="s">
        <v>135</v>
      </c>
      <c r="H158" s="1" t="s">
        <v>51</v>
      </c>
      <c r="I158" s="1" t="s">
        <v>11</v>
      </c>
      <c r="J158" s="1" t="s">
        <v>35</v>
      </c>
    </row>
    <row r="159" customFormat="false" ht="15" hidden="false" customHeight="true" outlineLevel="0" collapsed="false">
      <c r="A159" s="1" t="n">
        <v>158</v>
      </c>
      <c r="B159" s="1" t="s">
        <v>411</v>
      </c>
      <c r="C159" s="1" t="s">
        <v>412</v>
      </c>
      <c r="D159" s="1" t="s">
        <v>413</v>
      </c>
      <c r="E159" s="1" t="n">
        <v>24712.17</v>
      </c>
      <c r="F159" s="1" t="s">
        <v>39</v>
      </c>
      <c r="G159" s="1" t="s">
        <v>166</v>
      </c>
      <c r="H159" s="1" t="s">
        <v>51</v>
      </c>
      <c r="I159" s="1" t="s">
        <v>11</v>
      </c>
      <c r="J159" s="1" t="s">
        <v>35</v>
      </c>
    </row>
    <row r="160" customFormat="false" ht="15" hidden="false" customHeight="true" outlineLevel="0" collapsed="false">
      <c r="A160" s="1" t="n">
        <v>159</v>
      </c>
      <c r="B160" s="1" t="s">
        <v>414</v>
      </c>
      <c r="C160" s="1" t="s">
        <v>415</v>
      </c>
      <c r="D160" s="1" t="s">
        <v>416</v>
      </c>
      <c r="E160" s="1" t="n">
        <v>26215.7</v>
      </c>
      <c r="F160" s="1" t="s">
        <v>31</v>
      </c>
      <c r="G160" s="1" t="s">
        <v>191</v>
      </c>
      <c r="H160" s="1" t="s">
        <v>65</v>
      </c>
      <c r="I160" s="1" t="s">
        <v>12</v>
      </c>
      <c r="J160" s="1" t="s">
        <v>35</v>
      </c>
    </row>
    <row r="161" customFormat="false" ht="15" hidden="false" customHeight="true" outlineLevel="0" collapsed="false">
      <c r="A161" s="1" t="n">
        <v>160</v>
      </c>
      <c r="B161" s="1" t="s">
        <v>417</v>
      </c>
      <c r="C161" s="1" t="s">
        <v>418</v>
      </c>
      <c r="D161" s="1" t="s">
        <v>419</v>
      </c>
      <c r="E161" s="1" t="n">
        <v>39919.89</v>
      </c>
      <c r="F161" s="1" t="s">
        <v>39</v>
      </c>
      <c r="G161" s="1" t="s">
        <v>198</v>
      </c>
      <c r="H161" s="1" t="s">
        <v>61</v>
      </c>
      <c r="I161" s="1" t="s">
        <v>11</v>
      </c>
      <c r="J161" s="1" t="s">
        <v>35</v>
      </c>
    </row>
    <row r="162" customFormat="false" ht="15" hidden="false" customHeight="true" outlineLevel="0" collapsed="false">
      <c r="A162" s="1" t="n">
        <v>161</v>
      </c>
      <c r="B162" s="1" t="s">
        <v>420</v>
      </c>
      <c r="C162" s="1" t="s">
        <v>421</v>
      </c>
      <c r="D162" s="1" t="s">
        <v>422</v>
      </c>
      <c r="E162" s="1" t="n">
        <v>47096.21</v>
      </c>
      <c r="F162" s="1" t="s">
        <v>55</v>
      </c>
      <c r="G162" s="1" t="s">
        <v>128</v>
      </c>
      <c r="H162" s="1" t="s">
        <v>57</v>
      </c>
      <c r="I162" s="1" t="s">
        <v>13</v>
      </c>
      <c r="J162" s="1" t="s">
        <v>34</v>
      </c>
    </row>
    <row r="163" customFormat="false" ht="15" hidden="false" customHeight="true" outlineLevel="0" collapsed="false">
      <c r="A163" s="1" t="n">
        <v>162</v>
      </c>
      <c r="B163" s="1" t="s">
        <v>423</v>
      </c>
      <c r="C163" s="1" t="s">
        <v>424</v>
      </c>
      <c r="D163" s="1" t="s">
        <v>425</v>
      </c>
      <c r="E163" s="1" t="n">
        <v>9781.66</v>
      </c>
      <c r="F163" s="1" t="s">
        <v>31</v>
      </c>
      <c r="G163" s="1" t="s">
        <v>135</v>
      </c>
      <c r="H163" s="1" t="s">
        <v>65</v>
      </c>
      <c r="I163" s="1" t="s">
        <v>12</v>
      </c>
      <c r="J163" s="1" t="s">
        <v>35</v>
      </c>
    </row>
    <row r="164" customFormat="false" ht="15" hidden="false" customHeight="true" outlineLevel="0" collapsed="false">
      <c r="A164" s="1" t="n">
        <v>163</v>
      </c>
      <c r="B164" s="1" t="s">
        <v>426</v>
      </c>
      <c r="C164" s="1" t="s">
        <v>427</v>
      </c>
      <c r="D164" s="1" t="s">
        <v>172</v>
      </c>
      <c r="E164" s="1" t="n">
        <v>29769.76</v>
      </c>
      <c r="F164" s="1" t="s">
        <v>55</v>
      </c>
      <c r="G164" s="1" t="s">
        <v>32</v>
      </c>
      <c r="H164" s="1" t="s">
        <v>41</v>
      </c>
      <c r="I164" s="1" t="s">
        <v>10</v>
      </c>
      <c r="J164" s="1" t="s">
        <v>34</v>
      </c>
    </row>
    <row r="165" customFormat="false" ht="15" hidden="false" customHeight="true" outlineLevel="0" collapsed="false">
      <c r="A165" s="1" t="n">
        <v>164</v>
      </c>
      <c r="B165" s="1" t="s">
        <v>428</v>
      </c>
      <c r="C165" s="1" t="s">
        <v>429</v>
      </c>
      <c r="D165" s="1" t="s">
        <v>430</v>
      </c>
      <c r="E165" s="1" t="n">
        <v>40749.45</v>
      </c>
      <c r="F165" s="1" t="s">
        <v>79</v>
      </c>
      <c r="G165" s="1" t="s">
        <v>211</v>
      </c>
      <c r="H165" s="1" t="s">
        <v>65</v>
      </c>
      <c r="I165" s="1" t="s">
        <v>13</v>
      </c>
      <c r="J165" s="1" t="s">
        <v>34</v>
      </c>
    </row>
    <row r="166" customFormat="false" ht="15" hidden="false" customHeight="true" outlineLevel="0" collapsed="false">
      <c r="A166" s="1" t="n">
        <v>165</v>
      </c>
      <c r="B166" s="1" t="s">
        <v>431</v>
      </c>
      <c r="C166" s="1" t="s">
        <v>432</v>
      </c>
      <c r="D166" s="1" t="s">
        <v>433</v>
      </c>
      <c r="E166" s="1" t="n">
        <v>49590.03</v>
      </c>
      <c r="F166" s="1" t="s">
        <v>91</v>
      </c>
      <c r="G166" s="1" t="s">
        <v>72</v>
      </c>
      <c r="H166" s="1" t="s">
        <v>51</v>
      </c>
      <c r="I166" s="1" t="s">
        <v>13</v>
      </c>
      <c r="J166" s="1" t="s">
        <v>34</v>
      </c>
    </row>
    <row r="167" customFormat="false" ht="15" hidden="false" customHeight="true" outlineLevel="0" collapsed="false">
      <c r="A167" s="1" t="n">
        <v>166</v>
      </c>
      <c r="B167" s="1" t="s">
        <v>434</v>
      </c>
      <c r="C167" s="1" t="s">
        <v>435</v>
      </c>
      <c r="D167" s="1" t="s">
        <v>117</v>
      </c>
      <c r="E167" s="1" t="n">
        <v>47272.59</v>
      </c>
      <c r="F167" s="1" t="s">
        <v>79</v>
      </c>
      <c r="G167" s="1" t="s">
        <v>135</v>
      </c>
      <c r="H167" s="1" t="s">
        <v>57</v>
      </c>
      <c r="I167" s="1" t="s">
        <v>13</v>
      </c>
      <c r="J167" s="1" t="s">
        <v>34</v>
      </c>
    </row>
    <row r="168" customFormat="false" ht="15" hidden="false" customHeight="true" outlineLevel="0" collapsed="false">
      <c r="A168" s="1" t="n">
        <v>167</v>
      </c>
      <c r="B168" s="1" t="s">
        <v>436</v>
      </c>
      <c r="C168" s="1" t="s">
        <v>437</v>
      </c>
      <c r="D168" s="1" t="s">
        <v>438</v>
      </c>
      <c r="E168" s="1" t="n">
        <v>1607.91</v>
      </c>
      <c r="F168" s="1" t="s">
        <v>55</v>
      </c>
      <c r="G168" s="1" t="s">
        <v>50</v>
      </c>
      <c r="H168" s="1" t="s">
        <v>65</v>
      </c>
      <c r="I168" s="1" t="s">
        <v>10</v>
      </c>
      <c r="J168" s="1" t="s">
        <v>34</v>
      </c>
    </row>
    <row r="169" customFormat="false" ht="15" hidden="false" customHeight="true" outlineLevel="0" collapsed="false">
      <c r="A169" s="1" t="n">
        <v>168</v>
      </c>
      <c r="B169" s="1" t="s">
        <v>439</v>
      </c>
      <c r="C169" s="1" t="s">
        <v>440</v>
      </c>
      <c r="D169" s="1" t="s">
        <v>441</v>
      </c>
      <c r="E169" s="1" t="n">
        <v>49701.08</v>
      </c>
      <c r="F169" s="1" t="s">
        <v>39</v>
      </c>
      <c r="G169" s="1" t="s">
        <v>157</v>
      </c>
      <c r="H169" s="1" t="s">
        <v>51</v>
      </c>
      <c r="I169" s="1" t="s">
        <v>11</v>
      </c>
      <c r="J169" s="1" t="s">
        <v>35</v>
      </c>
    </row>
    <row r="170" customFormat="false" ht="15" hidden="false" customHeight="true" outlineLevel="0" collapsed="false">
      <c r="A170" s="1" t="n">
        <v>169</v>
      </c>
      <c r="B170" s="1" t="s">
        <v>439</v>
      </c>
      <c r="C170" s="1" t="s">
        <v>440</v>
      </c>
      <c r="D170" s="1" t="s">
        <v>441</v>
      </c>
      <c r="E170" s="1" t="n">
        <v>49701.08</v>
      </c>
      <c r="F170" s="1" t="s">
        <v>39</v>
      </c>
      <c r="G170" s="1" t="s">
        <v>157</v>
      </c>
      <c r="H170" s="1" t="s">
        <v>51</v>
      </c>
      <c r="I170" s="1" t="s">
        <v>13</v>
      </c>
      <c r="J170" s="1" t="s">
        <v>34</v>
      </c>
    </row>
    <row r="171" customFormat="false" ht="15" hidden="false" customHeight="true" outlineLevel="0" collapsed="false">
      <c r="A171" s="1" t="n">
        <v>170</v>
      </c>
      <c r="B171" s="1" t="s">
        <v>442</v>
      </c>
      <c r="C171" s="1" t="s">
        <v>443</v>
      </c>
      <c r="D171" s="1" t="s">
        <v>242</v>
      </c>
      <c r="E171" s="1" t="n">
        <v>29773.68</v>
      </c>
      <c r="F171" s="1" t="s">
        <v>49</v>
      </c>
      <c r="G171" s="1" t="s">
        <v>50</v>
      </c>
      <c r="H171" s="1" t="s">
        <v>61</v>
      </c>
      <c r="I171" s="1" t="s">
        <v>10</v>
      </c>
      <c r="J171" s="1" t="s">
        <v>34</v>
      </c>
    </row>
    <row r="172" customFormat="false" ht="15" hidden="false" customHeight="true" outlineLevel="0" collapsed="false">
      <c r="A172" s="1" t="n">
        <v>171</v>
      </c>
      <c r="B172" s="1" t="s">
        <v>444</v>
      </c>
      <c r="C172" s="1" t="s">
        <v>445</v>
      </c>
      <c r="D172" s="1" t="s">
        <v>446</v>
      </c>
      <c r="E172" s="1" t="n">
        <v>20619.84</v>
      </c>
      <c r="F172" s="1" t="s">
        <v>31</v>
      </c>
      <c r="G172" s="1" t="s">
        <v>166</v>
      </c>
      <c r="H172" s="1" t="s">
        <v>61</v>
      </c>
      <c r="I172" s="1" t="s">
        <v>12</v>
      </c>
      <c r="J172" s="1" t="s">
        <v>35</v>
      </c>
    </row>
    <row r="173" customFormat="false" ht="15" hidden="false" customHeight="true" outlineLevel="0" collapsed="false">
      <c r="A173" s="1" t="n">
        <v>172</v>
      </c>
      <c r="B173" s="1" t="s">
        <v>447</v>
      </c>
      <c r="C173" s="1" t="s">
        <v>448</v>
      </c>
      <c r="D173" s="1" t="s">
        <v>449</v>
      </c>
      <c r="E173" s="1" t="n">
        <v>27093.51</v>
      </c>
      <c r="F173" s="1" t="s">
        <v>31</v>
      </c>
      <c r="G173" s="1" t="s">
        <v>191</v>
      </c>
      <c r="H173" s="1" t="s">
        <v>41</v>
      </c>
      <c r="I173" s="1" t="s">
        <v>12</v>
      </c>
      <c r="J173" s="1" t="s">
        <v>35</v>
      </c>
    </row>
    <row r="174" customFormat="false" ht="15" hidden="false" customHeight="true" outlineLevel="0" collapsed="false">
      <c r="A174" s="1" t="n">
        <v>173</v>
      </c>
      <c r="B174" s="1" t="s">
        <v>450</v>
      </c>
      <c r="C174" s="1" t="s">
        <v>451</v>
      </c>
      <c r="D174" s="1" t="s">
        <v>452</v>
      </c>
      <c r="E174" s="1" t="n">
        <v>19365.72</v>
      </c>
      <c r="F174" s="1" t="s">
        <v>39</v>
      </c>
      <c r="G174" s="1" t="s">
        <v>45</v>
      </c>
      <c r="H174" s="1" t="s">
        <v>57</v>
      </c>
      <c r="I174" s="1" t="s">
        <v>11</v>
      </c>
      <c r="J174" s="1" t="s">
        <v>35</v>
      </c>
    </row>
    <row r="175" customFormat="false" ht="15" hidden="false" customHeight="true" outlineLevel="0" collapsed="false">
      <c r="A175" s="1" t="n">
        <v>174</v>
      </c>
      <c r="B175" s="1" t="s">
        <v>453</v>
      </c>
      <c r="C175" s="1" t="s">
        <v>454</v>
      </c>
      <c r="D175" s="1" t="s">
        <v>262</v>
      </c>
      <c r="E175" s="1" t="n">
        <v>38994.53</v>
      </c>
      <c r="F175" s="1" t="s">
        <v>91</v>
      </c>
      <c r="G175" s="1" t="s">
        <v>32</v>
      </c>
      <c r="H175" s="1" t="s">
        <v>33</v>
      </c>
      <c r="I175" s="1" t="s">
        <v>10</v>
      </c>
      <c r="J175" s="1" t="s">
        <v>34</v>
      </c>
    </row>
    <row r="176" customFormat="false" ht="15" hidden="false" customHeight="true" outlineLevel="0" collapsed="false">
      <c r="A176" s="1" t="n">
        <v>175</v>
      </c>
      <c r="B176" s="1" t="s">
        <v>455</v>
      </c>
      <c r="C176" s="1" t="s">
        <v>456</v>
      </c>
      <c r="D176" s="1" t="s">
        <v>457</v>
      </c>
      <c r="E176" s="1" t="n">
        <v>10359.24</v>
      </c>
      <c r="F176" s="1" t="s">
        <v>31</v>
      </c>
      <c r="G176" s="1" t="s">
        <v>45</v>
      </c>
      <c r="H176" s="1" t="s">
        <v>61</v>
      </c>
      <c r="I176" s="1" t="s">
        <v>12</v>
      </c>
      <c r="J176" s="1" t="s">
        <v>35</v>
      </c>
    </row>
    <row r="177" customFormat="false" ht="15" hidden="false" customHeight="true" outlineLevel="0" collapsed="false">
      <c r="A177" s="1" t="n">
        <v>176</v>
      </c>
      <c r="B177" s="1" t="s">
        <v>458</v>
      </c>
      <c r="C177" s="1" t="s">
        <v>459</v>
      </c>
      <c r="D177" s="1" t="s">
        <v>460</v>
      </c>
      <c r="E177" s="1" t="n">
        <v>4469.25</v>
      </c>
      <c r="F177" s="1" t="s">
        <v>31</v>
      </c>
      <c r="G177" s="1" t="s">
        <v>84</v>
      </c>
      <c r="H177" s="1" t="s">
        <v>57</v>
      </c>
      <c r="I177" s="1" t="s">
        <v>10</v>
      </c>
      <c r="J177" s="1" t="s">
        <v>34</v>
      </c>
    </row>
    <row r="178" customFormat="false" ht="15" hidden="false" customHeight="true" outlineLevel="0" collapsed="false">
      <c r="A178" s="1" t="n">
        <v>177</v>
      </c>
      <c r="B178" s="1" t="s">
        <v>461</v>
      </c>
      <c r="C178" s="1" t="s">
        <v>462</v>
      </c>
      <c r="D178" s="1" t="s">
        <v>463</v>
      </c>
      <c r="E178" s="1" t="n">
        <v>38604.61</v>
      </c>
      <c r="F178" s="1" t="s">
        <v>79</v>
      </c>
      <c r="G178" s="1" t="s">
        <v>50</v>
      </c>
      <c r="H178" s="1" t="s">
        <v>51</v>
      </c>
      <c r="I178" s="1" t="s">
        <v>10</v>
      </c>
      <c r="J178" s="1" t="s">
        <v>34</v>
      </c>
    </row>
    <row r="179" customFormat="false" ht="15" hidden="false" customHeight="true" outlineLevel="0" collapsed="false">
      <c r="A179" s="1" t="n">
        <v>178</v>
      </c>
      <c r="B179" s="1" t="s">
        <v>464</v>
      </c>
      <c r="C179" s="1" t="s">
        <v>465</v>
      </c>
      <c r="D179" s="1" t="s">
        <v>466</v>
      </c>
      <c r="E179" s="1" t="n">
        <v>38902.5</v>
      </c>
      <c r="F179" s="1" t="s">
        <v>49</v>
      </c>
      <c r="G179" s="1" t="s">
        <v>84</v>
      </c>
      <c r="H179" s="1" t="s">
        <v>61</v>
      </c>
      <c r="I179" s="1" t="s">
        <v>10</v>
      </c>
      <c r="J179" s="1" t="s">
        <v>34</v>
      </c>
    </row>
    <row r="180" customFormat="false" ht="15" hidden="false" customHeight="true" outlineLevel="0" collapsed="false">
      <c r="A180" s="1" t="n">
        <v>179</v>
      </c>
      <c r="B180" s="1" t="s">
        <v>467</v>
      </c>
      <c r="C180" s="1" t="s">
        <v>468</v>
      </c>
      <c r="D180" s="1" t="s">
        <v>469</v>
      </c>
      <c r="E180" s="1" t="n">
        <v>45986.76</v>
      </c>
      <c r="F180" s="1" t="s">
        <v>91</v>
      </c>
      <c r="G180" s="1" t="s">
        <v>72</v>
      </c>
      <c r="H180" s="1" t="s">
        <v>51</v>
      </c>
      <c r="I180" s="1" t="s">
        <v>13</v>
      </c>
      <c r="J180" s="1" t="s">
        <v>34</v>
      </c>
    </row>
    <row r="181" customFormat="false" ht="15" hidden="false" customHeight="true" outlineLevel="0" collapsed="false">
      <c r="A181" s="1" t="n">
        <v>180</v>
      </c>
      <c r="B181" s="1" t="s">
        <v>470</v>
      </c>
      <c r="C181" s="1" t="s">
        <v>471</v>
      </c>
      <c r="D181" s="1" t="s">
        <v>472</v>
      </c>
      <c r="E181" s="1" t="n">
        <v>42085.73</v>
      </c>
      <c r="F181" s="1" t="s">
        <v>55</v>
      </c>
      <c r="G181" s="1" t="s">
        <v>157</v>
      </c>
      <c r="H181" s="1" t="s">
        <v>65</v>
      </c>
      <c r="I181" s="1" t="s">
        <v>13</v>
      </c>
      <c r="J181" s="1" t="s">
        <v>34</v>
      </c>
    </row>
    <row r="182" customFormat="false" ht="15" hidden="false" customHeight="true" outlineLevel="0" collapsed="false">
      <c r="A182" s="1" t="n">
        <v>181</v>
      </c>
      <c r="B182" s="1" t="s">
        <v>473</v>
      </c>
      <c r="C182" s="1" t="s">
        <v>474</v>
      </c>
      <c r="D182" s="1" t="s">
        <v>475</v>
      </c>
      <c r="E182" s="1" t="n">
        <v>13505.23</v>
      </c>
      <c r="F182" s="1" t="s">
        <v>79</v>
      </c>
      <c r="G182" s="1" t="s">
        <v>84</v>
      </c>
      <c r="H182" s="1" t="s">
        <v>33</v>
      </c>
      <c r="I182" s="1" t="s">
        <v>10</v>
      </c>
      <c r="J182" s="1" t="s">
        <v>34</v>
      </c>
    </row>
    <row r="183" customFormat="false" ht="15" hidden="false" customHeight="true" outlineLevel="0" collapsed="false">
      <c r="A183" s="1" t="n">
        <v>182</v>
      </c>
      <c r="B183" s="1" t="s">
        <v>476</v>
      </c>
      <c r="C183" s="1" t="s">
        <v>477</v>
      </c>
      <c r="D183" s="1" t="s">
        <v>107</v>
      </c>
      <c r="E183" s="1" t="n">
        <v>12618.03</v>
      </c>
      <c r="F183" s="1" t="s">
        <v>55</v>
      </c>
      <c r="G183" s="1" t="s">
        <v>50</v>
      </c>
      <c r="H183" s="1" t="s">
        <v>65</v>
      </c>
      <c r="I183" s="1" t="s">
        <v>10</v>
      </c>
      <c r="J183" s="1" t="s">
        <v>34</v>
      </c>
    </row>
    <row r="184" customFormat="false" ht="15" hidden="false" customHeight="true" outlineLevel="0" collapsed="false">
      <c r="A184" s="1" t="n">
        <v>183</v>
      </c>
      <c r="B184" s="1" t="s">
        <v>478</v>
      </c>
      <c r="C184" s="1" t="s">
        <v>479</v>
      </c>
      <c r="D184" s="1" t="s">
        <v>463</v>
      </c>
      <c r="E184" s="1" t="n">
        <v>40050.77</v>
      </c>
      <c r="F184" s="1" t="s">
        <v>79</v>
      </c>
      <c r="G184" s="1" t="s">
        <v>50</v>
      </c>
      <c r="H184" s="1" t="s">
        <v>41</v>
      </c>
      <c r="I184" s="1" t="s">
        <v>10</v>
      </c>
      <c r="J184" s="1" t="s">
        <v>34</v>
      </c>
    </row>
    <row r="185" customFormat="false" ht="15" hidden="false" customHeight="true" outlineLevel="0" collapsed="false">
      <c r="A185" s="1" t="n">
        <v>184</v>
      </c>
      <c r="B185" s="1" t="s">
        <v>478</v>
      </c>
      <c r="C185" s="1" t="s">
        <v>479</v>
      </c>
      <c r="D185" s="1" t="s">
        <v>463</v>
      </c>
      <c r="E185" s="1" t="n">
        <v>40050.77</v>
      </c>
      <c r="F185" s="1" t="s">
        <v>79</v>
      </c>
      <c r="G185" s="1" t="s">
        <v>50</v>
      </c>
      <c r="H185" s="1" t="s">
        <v>41</v>
      </c>
      <c r="I185" s="1" t="s">
        <v>13</v>
      </c>
      <c r="J185" s="1" t="s">
        <v>34</v>
      </c>
    </row>
    <row r="186" customFormat="false" ht="15" hidden="false" customHeight="true" outlineLevel="0" collapsed="false">
      <c r="A186" s="1" t="n">
        <v>185</v>
      </c>
      <c r="B186" s="1" t="s">
        <v>480</v>
      </c>
      <c r="C186" s="1" t="s">
        <v>481</v>
      </c>
      <c r="D186" s="1" t="s">
        <v>30</v>
      </c>
      <c r="E186" s="1" t="n">
        <v>47196.81</v>
      </c>
      <c r="F186" s="1" t="s">
        <v>79</v>
      </c>
      <c r="G186" s="1" t="s">
        <v>482</v>
      </c>
      <c r="H186" s="1" t="s">
        <v>33</v>
      </c>
      <c r="I186" s="1" t="s">
        <v>13</v>
      </c>
      <c r="J186" s="1" t="s">
        <v>34</v>
      </c>
    </row>
    <row r="187" customFormat="false" ht="15" hidden="false" customHeight="true" outlineLevel="0" collapsed="false">
      <c r="A187" s="1" t="n">
        <v>186</v>
      </c>
      <c r="B187" s="1" t="s">
        <v>483</v>
      </c>
      <c r="C187" s="1" t="s">
        <v>484</v>
      </c>
      <c r="D187" s="1" t="s">
        <v>485</v>
      </c>
      <c r="E187" s="1" t="n">
        <v>40308.81</v>
      </c>
      <c r="F187" s="1" t="s">
        <v>55</v>
      </c>
      <c r="G187" s="1" t="s">
        <v>211</v>
      </c>
      <c r="H187" s="1" t="s">
        <v>51</v>
      </c>
      <c r="I187" s="1" t="s">
        <v>13</v>
      </c>
      <c r="J187" s="1" t="s">
        <v>34</v>
      </c>
    </row>
    <row r="188" customFormat="false" ht="15" hidden="false" customHeight="true" outlineLevel="0" collapsed="false">
      <c r="A188" s="1" t="n">
        <v>187</v>
      </c>
      <c r="B188" s="1" t="s">
        <v>486</v>
      </c>
      <c r="C188" s="1" t="s">
        <v>487</v>
      </c>
      <c r="D188" s="1" t="s">
        <v>488</v>
      </c>
      <c r="E188" s="1" t="n">
        <v>186.42</v>
      </c>
      <c r="F188" s="1" t="s">
        <v>55</v>
      </c>
      <c r="G188" s="1" t="s">
        <v>84</v>
      </c>
      <c r="H188" s="1" t="s">
        <v>51</v>
      </c>
      <c r="I188" s="1" t="s">
        <v>10</v>
      </c>
      <c r="J188" s="1" t="s">
        <v>34</v>
      </c>
    </row>
    <row r="189" customFormat="false" ht="15" hidden="false" customHeight="true" outlineLevel="0" collapsed="false">
      <c r="A189" s="1" t="n">
        <v>188</v>
      </c>
      <c r="B189" s="1" t="s">
        <v>489</v>
      </c>
      <c r="C189" s="1" t="s">
        <v>490</v>
      </c>
      <c r="D189" s="1" t="s">
        <v>491</v>
      </c>
      <c r="E189" s="1" t="n">
        <v>9731.02</v>
      </c>
      <c r="F189" s="1" t="s">
        <v>79</v>
      </c>
      <c r="G189" s="1" t="s">
        <v>32</v>
      </c>
      <c r="H189" s="1" t="s">
        <v>57</v>
      </c>
      <c r="I189" s="1" t="s">
        <v>10</v>
      </c>
      <c r="J189" s="1" t="s">
        <v>34</v>
      </c>
    </row>
    <row r="190" customFormat="false" ht="15" hidden="false" customHeight="true" outlineLevel="0" collapsed="false">
      <c r="A190" s="1" t="n">
        <v>189</v>
      </c>
      <c r="B190" s="1" t="s">
        <v>492</v>
      </c>
      <c r="C190" s="1" t="s">
        <v>493</v>
      </c>
      <c r="D190" s="1" t="s">
        <v>494</v>
      </c>
      <c r="E190" s="1" t="n">
        <v>45277.16</v>
      </c>
      <c r="F190" s="1" t="s">
        <v>39</v>
      </c>
      <c r="G190" s="1" t="s">
        <v>56</v>
      </c>
      <c r="H190" s="1" t="s">
        <v>65</v>
      </c>
      <c r="I190" s="1" t="s">
        <v>10</v>
      </c>
      <c r="J190" s="1" t="s">
        <v>34</v>
      </c>
    </row>
    <row r="191" customFormat="false" ht="15" hidden="false" customHeight="true" outlineLevel="0" collapsed="false">
      <c r="A191" s="1" t="n">
        <v>190</v>
      </c>
      <c r="B191" s="1" t="s">
        <v>492</v>
      </c>
      <c r="C191" s="1" t="s">
        <v>493</v>
      </c>
      <c r="D191" s="1" t="s">
        <v>494</v>
      </c>
      <c r="E191" s="1" t="n">
        <v>45277.16</v>
      </c>
      <c r="F191" s="1" t="s">
        <v>39</v>
      </c>
      <c r="G191" s="1" t="s">
        <v>56</v>
      </c>
      <c r="H191" s="1" t="s">
        <v>65</v>
      </c>
      <c r="I191" s="1" t="s">
        <v>11</v>
      </c>
      <c r="J191" s="1" t="s">
        <v>35</v>
      </c>
    </row>
    <row r="192" customFormat="false" ht="15" hidden="false" customHeight="true" outlineLevel="0" collapsed="false">
      <c r="A192" s="1" t="n">
        <v>191</v>
      </c>
      <c r="B192" s="1" t="s">
        <v>492</v>
      </c>
      <c r="C192" s="1" t="s">
        <v>493</v>
      </c>
      <c r="D192" s="1" t="s">
        <v>494</v>
      </c>
      <c r="E192" s="1" t="n">
        <v>45277.16</v>
      </c>
      <c r="F192" s="1" t="s">
        <v>39</v>
      </c>
      <c r="G192" s="1" t="s">
        <v>56</v>
      </c>
      <c r="H192" s="1" t="s">
        <v>65</v>
      </c>
      <c r="I192" s="1" t="s">
        <v>13</v>
      </c>
      <c r="J192" s="1" t="s">
        <v>34</v>
      </c>
    </row>
    <row r="193" customFormat="false" ht="15" hidden="false" customHeight="true" outlineLevel="0" collapsed="false">
      <c r="A193" s="1" t="n">
        <v>192</v>
      </c>
      <c r="B193" s="1" t="s">
        <v>495</v>
      </c>
      <c r="C193" s="1" t="s">
        <v>496</v>
      </c>
      <c r="D193" s="1" t="s">
        <v>497</v>
      </c>
      <c r="E193" s="1" t="n">
        <v>46026.24</v>
      </c>
      <c r="F193" s="1" t="s">
        <v>91</v>
      </c>
      <c r="G193" s="1" t="s">
        <v>482</v>
      </c>
      <c r="H193" s="1" t="s">
        <v>65</v>
      </c>
      <c r="I193" s="1" t="s">
        <v>13</v>
      </c>
      <c r="J193" s="1" t="s">
        <v>34</v>
      </c>
    </row>
    <row r="194" customFormat="false" ht="15" hidden="false" customHeight="true" outlineLevel="0" collapsed="false">
      <c r="A194" s="1" t="n">
        <v>193</v>
      </c>
      <c r="B194" s="1" t="s">
        <v>498</v>
      </c>
      <c r="C194" s="1" t="s">
        <v>499</v>
      </c>
      <c r="D194" s="1" t="s">
        <v>500</v>
      </c>
      <c r="E194" s="1" t="n">
        <v>18265.73</v>
      </c>
      <c r="F194" s="1" t="s">
        <v>39</v>
      </c>
      <c r="G194" s="1" t="s">
        <v>32</v>
      </c>
      <c r="H194" s="1" t="s">
        <v>33</v>
      </c>
      <c r="I194" s="1" t="s">
        <v>10</v>
      </c>
      <c r="J194" s="1" t="s">
        <v>34</v>
      </c>
    </row>
    <row r="195" customFormat="false" ht="15" hidden="false" customHeight="true" outlineLevel="0" collapsed="false">
      <c r="A195" s="1" t="n">
        <v>194</v>
      </c>
      <c r="B195" s="1" t="s">
        <v>498</v>
      </c>
      <c r="C195" s="1" t="s">
        <v>499</v>
      </c>
      <c r="D195" s="1" t="s">
        <v>500</v>
      </c>
      <c r="E195" s="1" t="n">
        <v>18265.73</v>
      </c>
      <c r="F195" s="1" t="s">
        <v>39</v>
      </c>
      <c r="G195" s="1" t="s">
        <v>32</v>
      </c>
      <c r="H195" s="1" t="s">
        <v>33</v>
      </c>
      <c r="I195" s="1" t="s">
        <v>11</v>
      </c>
      <c r="J195" s="1" t="s">
        <v>35</v>
      </c>
    </row>
    <row r="196" customFormat="false" ht="15" hidden="false" customHeight="true" outlineLevel="0" collapsed="false">
      <c r="A196" s="1" t="n">
        <v>195</v>
      </c>
      <c r="B196" s="1" t="s">
        <v>501</v>
      </c>
      <c r="C196" s="1" t="s">
        <v>502</v>
      </c>
      <c r="D196" s="1" t="s">
        <v>503</v>
      </c>
      <c r="E196" s="1" t="n">
        <v>19972.14</v>
      </c>
      <c r="F196" s="1" t="s">
        <v>55</v>
      </c>
      <c r="G196" s="1" t="s">
        <v>32</v>
      </c>
      <c r="H196" s="1" t="s">
        <v>41</v>
      </c>
      <c r="I196" s="1" t="s">
        <v>10</v>
      </c>
      <c r="J196" s="1" t="s">
        <v>34</v>
      </c>
    </row>
    <row r="197" customFormat="false" ht="15" hidden="false" customHeight="true" outlineLevel="0" collapsed="false">
      <c r="A197" s="1" t="n">
        <v>196</v>
      </c>
      <c r="B197" s="1" t="s">
        <v>504</v>
      </c>
      <c r="C197" s="1" t="s">
        <v>505</v>
      </c>
      <c r="D197" s="1" t="s">
        <v>506</v>
      </c>
      <c r="E197" s="1" t="n">
        <v>41424.63</v>
      </c>
      <c r="F197" s="1" t="s">
        <v>79</v>
      </c>
      <c r="G197" s="1" t="s">
        <v>50</v>
      </c>
      <c r="H197" s="1" t="s">
        <v>61</v>
      </c>
      <c r="I197" s="1" t="s">
        <v>10</v>
      </c>
      <c r="J197" s="1" t="s">
        <v>34</v>
      </c>
    </row>
    <row r="198" customFormat="false" ht="15" hidden="false" customHeight="true" outlineLevel="0" collapsed="false">
      <c r="A198" s="1" t="n">
        <v>197</v>
      </c>
      <c r="B198" s="1" t="s">
        <v>504</v>
      </c>
      <c r="C198" s="1" t="s">
        <v>505</v>
      </c>
      <c r="D198" s="1" t="s">
        <v>506</v>
      </c>
      <c r="E198" s="1" t="n">
        <v>41424.63</v>
      </c>
      <c r="F198" s="1" t="s">
        <v>79</v>
      </c>
      <c r="G198" s="1" t="s">
        <v>50</v>
      </c>
      <c r="H198" s="1" t="s">
        <v>61</v>
      </c>
      <c r="I198" s="1" t="s">
        <v>13</v>
      </c>
      <c r="J198" s="1" t="s">
        <v>34</v>
      </c>
    </row>
    <row r="199" customFormat="false" ht="15" hidden="false" customHeight="true" outlineLevel="0" collapsed="false">
      <c r="A199" s="1" t="n">
        <v>198</v>
      </c>
      <c r="B199" s="1" t="s">
        <v>507</v>
      </c>
      <c r="C199" s="1" t="s">
        <v>508</v>
      </c>
      <c r="D199" s="1" t="s">
        <v>509</v>
      </c>
      <c r="E199" s="1" t="n">
        <v>15439.14</v>
      </c>
      <c r="F199" s="1" t="s">
        <v>39</v>
      </c>
      <c r="G199" s="1" t="s">
        <v>72</v>
      </c>
      <c r="H199" s="1" t="s">
        <v>33</v>
      </c>
      <c r="I199" s="1" t="s">
        <v>11</v>
      </c>
      <c r="J199" s="1" t="s">
        <v>35</v>
      </c>
    </row>
    <row r="200" customFormat="false" ht="15" hidden="false" customHeight="true" outlineLevel="0" collapsed="false">
      <c r="A200" s="1" t="n">
        <v>199</v>
      </c>
      <c r="B200" s="1" t="s">
        <v>510</v>
      </c>
      <c r="C200" s="1" t="s">
        <v>511</v>
      </c>
      <c r="D200" s="1" t="s">
        <v>512</v>
      </c>
      <c r="E200" s="1" t="n">
        <v>24650.66</v>
      </c>
      <c r="F200" s="1" t="s">
        <v>39</v>
      </c>
      <c r="G200" s="1" t="s">
        <v>50</v>
      </c>
      <c r="H200" s="1" t="s">
        <v>33</v>
      </c>
      <c r="I200" s="1" t="s">
        <v>10</v>
      </c>
      <c r="J200" s="1" t="s">
        <v>34</v>
      </c>
    </row>
    <row r="201" customFormat="false" ht="15" hidden="false" customHeight="true" outlineLevel="0" collapsed="false">
      <c r="A201" s="1" t="n">
        <v>200</v>
      </c>
      <c r="B201" s="1" t="s">
        <v>510</v>
      </c>
      <c r="C201" s="1" t="s">
        <v>511</v>
      </c>
      <c r="D201" s="1" t="s">
        <v>512</v>
      </c>
      <c r="E201" s="1" t="n">
        <v>24650.66</v>
      </c>
      <c r="F201" s="1" t="s">
        <v>39</v>
      </c>
      <c r="G201" s="1" t="s">
        <v>50</v>
      </c>
      <c r="H201" s="1" t="s">
        <v>33</v>
      </c>
      <c r="I201" s="1" t="s">
        <v>11</v>
      </c>
      <c r="J201" s="1" t="s">
        <v>35</v>
      </c>
    </row>
    <row r="202" customFormat="false" ht="15" hidden="false" customHeight="true" outlineLevel="0" collapsed="false">
      <c r="A202" s="1" t="n">
        <v>201</v>
      </c>
      <c r="B202" s="1" t="s">
        <v>513</v>
      </c>
      <c r="C202" s="1" t="s">
        <v>514</v>
      </c>
      <c r="D202" s="1" t="s">
        <v>515</v>
      </c>
      <c r="E202" s="1" t="n">
        <v>40938.42</v>
      </c>
      <c r="F202" s="1" t="s">
        <v>55</v>
      </c>
      <c r="G202" s="1" t="s">
        <v>191</v>
      </c>
      <c r="H202" s="1" t="s">
        <v>65</v>
      </c>
      <c r="I202" s="1" t="s">
        <v>13</v>
      </c>
      <c r="J202" s="1" t="s">
        <v>34</v>
      </c>
    </row>
    <row r="203" customFormat="false" ht="15" hidden="false" customHeight="true" outlineLevel="0" collapsed="false">
      <c r="A203" s="1" t="n">
        <v>202</v>
      </c>
      <c r="B203" s="1" t="s">
        <v>516</v>
      </c>
      <c r="C203" s="1" t="s">
        <v>517</v>
      </c>
      <c r="D203" s="1" t="s">
        <v>518</v>
      </c>
      <c r="E203" s="1" t="n">
        <v>41453.11</v>
      </c>
      <c r="F203" s="1" t="s">
        <v>91</v>
      </c>
      <c r="G203" s="1" t="s">
        <v>114</v>
      </c>
      <c r="H203" s="1" t="s">
        <v>41</v>
      </c>
      <c r="I203" s="1" t="s">
        <v>13</v>
      </c>
      <c r="J203" s="1" t="s">
        <v>34</v>
      </c>
    </row>
    <row r="204" customFormat="false" ht="15" hidden="false" customHeight="true" outlineLevel="0" collapsed="false">
      <c r="A204" s="1" t="n">
        <v>203</v>
      </c>
      <c r="B204" s="1" t="s">
        <v>519</v>
      </c>
      <c r="C204" s="1" t="s">
        <v>520</v>
      </c>
      <c r="D204" s="1" t="s">
        <v>236</v>
      </c>
      <c r="E204" s="1" t="n">
        <v>47377.62</v>
      </c>
      <c r="F204" s="1" t="s">
        <v>79</v>
      </c>
      <c r="G204" s="1" t="s">
        <v>482</v>
      </c>
      <c r="H204" s="1" t="s">
        <v>61</v>
      </c>
      <c r="I204" s="1" t="s">
        <v>13</v>
      </c>
      <c r="J204" s="1" t="s">
        <v>34</v>
      </c>
    </row>
    <row r="205" customFormat="false" ht="15" hidden="false" customHeight="true" outlineLevel="0" collapsed="false">
      <c r="A205" s="1" t="n">
        <v>204</v>
      </c>
      <c r="B205" s="1" t="s">
        <v>521</v>
      </c>
      <c r="C205" s="1" t="s">
        <v>522</v>
      </c>
      <c r="D205" s="1" t="s">
        <v>523</v>
      </c>
      <c r="E205" s="1" t="n">
        <v>45908.27</v>
      </c>
      <c r="F205" s="1" t="s">
        <v>39</v>
      </c>
      <c r="G205" s="1" t="s">
        <v>84</v>
      </c>
      <c r="H205" s="1" t="s">
        <v>33</v>
      </c>
      <c r="I205" s="1" t="s">
        <v>10</v>
      </c>
      <c r="J205" s="1" t="s">
        <v>34</v>
      </c>
    </row>
    <row r="206" customFormat="false" ht="15" hidden="false" customHeight="true" outlineLevel="0" collapsed="false">
      <c r="A206" s="1" t="n">
        <v>205</v>
      </c>
      <c r="B206" s="1" t="s">
        <v>521</v>
      </c>
      <c r="C206" s="1" t="s">
        <v>522</v>
      </c>
      <c r="D206" s="1" t="s">
        <v>523</v>
      </c>
      <c r="E206" s="1" t="n">
        <v>45908.27</v>
      </c>
      <c r="F206" s="1" t="s">
        <v>39</v>
      </c>
      <c r="G206" s="1" t="s">
        <v>84</v>
      </c>
      <c r="H206" s="1" t="s">
        <v>33</v>
      </c>
      <c r="I206" s="1" t="s">
        <v>11</v>
      </c>
      <c r="J206" s="1" t="s">
        <v>35</v>
      </c>
    </row>
    <row r="207" customFormat="false" ht="15" hidden="false" customHeight="true" outlineLevel="0" collapsed="false">
      <c r="A207" s="1" t="n">
        <v>206</v>
      </c>
      <c r="B207" s="1" t="s">
        <v>521</v>
      </c>
      <c r="C207" s="1" t="s">
        <v>522</v>
      </c>
      <c r="D207" s="1" t="s">
        <v>523</v>
      </c>
      <c r="E207" s="1" t="n">
        <v>45908.27</v>
      </c>
      <c r="F207" s="1" t="s">
        <v>39</v>
      </c>
      <c r="G207" s="1" t="s">
        <v>84</v>
      </c>
      <c r="H207" s="1" t="s">
        <v>33</v>
      </c>
      <c r="I207" s="1" t="s">
        <v>13</v>
      </c>
      <c r="J207" s="1" t="s">
        <v>34</v>
      </c>
    </row>
    <row r="208" customFormat="false" ht="15" hidden="false" customHeight="true" outlineLevel="0" collapsed="false">
      <c r="A208" s="1" t="n">
        <v>207</v>
      </c>
      <c r="B208" s="1" t="s">
        <v>524</v>
      </c>
      <c r="C208" s="1" t="s">
        <v>525</v>
      </c>
      <c r="D208" s="1" t="s">
        <v>526</v>
      </c>
      <c r="E208" s="1" t="n">
        <v>42130.19</v>
      </c>
      <c r="F208" s="1" t="s">
        <v>91</v>
      </c>
      <c r="G208" s="1" t="s">
        <v>40</v>
      </c>
      <c r="H208" s="1" t="s">
        <v>51</v>
      </c>
      <c r="I208" s="1" t="s">
        <v>13</v>
      </c>
      <c r="J208" s="1" t="s">
        <v>34</v>
      </c>
    </row>
    <row r="209" customFormat="false" ht="15" hidden="false" customHeight="true" outlineLevel="0" collapsed="false">
      <c r="A209" s="1" t="n">
        <v>208</v>
      </c>
      <c r="B209" s="1" t="s">
        <v>527</v>
      </c>
      <c r="C209" s="1" t="s">
        <v>528</v>
      </c>
      <c r="D209" s="1" t="s">
        <v>529</v>
      </c>
      <c r="E209" s="1" t="n">
        <v>39067.13</v>
      </c>
      <c r="F209" s="1" t="s">
        <v>91</v>
      </c>
      <c r="G209" s="1" t="s">
        <v>56</v>
      </c>
      <c r="H209" s="1" t="s">
        <v>51</v>
      </c>
      <c r="I209" s="1" t="s">
        <v>10</v>
      </c>
      <c r="J209" s="1" t="s">
        <v>34</v>
      </c>
    </row>
    <row r="210" customFormat="false" ht="15" hidden="false" customHeight="true" outlineLevel="0" collapsed="false">
      <c r="A210" s="1" t="n">
        <v>209</v>
      </c>
      <c r="B210" s="1" t="s">
        <v>530</v>
      </c>
      <c r="C210" s="1" t="s">
        <v>531</v>
      </c>
      <c r="D210" s="1" t="s">
        <v>532</v>
      </c>
      <c r="E210" s="1" t="n">
        <v>23210.78</v>
      </c>
      <c r="F210" s="1" t="s">
        <v>49</v>
      </c>
      <c r="G210" s="1" t="s">
        <v>84</v>
      </c>
      <c r="H210" s="1" t="s">
        <v>51</v>
      </c>
      <c r="I210" s="1" t="s">
        <v>10</v>
      </c>
      <c r="J210" s="1" t="s">
        <v>34</v>
      </c>
    </row>
    <row r="211" customFormat="false" ht="15" hidden="false" customHeight="true" outlineLevel="0" collapsed="false">
      <c r="A211" s="1" t="n">
        <v>210</v>
      </c>
      <c r="B211" s="1" t="s">
        <v>533</v>
      </c>
      <c r="C211" s="1" t="s">
        <v>534</v>
      </c>
      <c r="D211" s="1" t="s">
        <v>379</v>
      </c>
      <c r="E211" s="1" t="n">
        <v>10692.24</v>
      </c>
      <c r="F211" s="1" t="s">
        <v>31</v>
      </c>
      <c r="G211" s="1" t="s">
        <v>95</v>
      </c>
      <c r="H211" s="1" t="s">
        <v>65</v>
      </c>
      <c r="I211" s="1" t="s">
        <v>12</v>
      </c>
      <c r="J211" s="1" t="s">
        <v>35</v>
      </c>
    </row>
    <row r="212" customFormat="false" ht="15" hidden="false" customHeight="true" outlineLevel="0" collapsed="false">
      <c r="A212" s="1" t="n">
        <v>211</v>
      </c>
      <c r="B212" s="1" t="s">
        <v>535</v>
      </c>
      <c r="C212" s="1" t="s">
        <v>536</v>
      </c>
      <c r="D212" s="1" t="s">
        <v>537</v>
      </c>
      <c r="E212" s="1" t="n">
        <v>20012.93</v>
      </c>
      <c r="F212" s="1" t="s">
        <v>39</v>
      </c>
      <c r="G212" s="1" t="s">
        <v>128</v>
      </c>
      <c r="H212" s="1" t="s">
        <v>33</v>
      </c>
      <c r="I212" s="1" t="s">
        <v>11</v>
      </c>
      <c r="J212" s="1" t="s">
        <v>35</v>
      </c>
    </row>
    <row r="213" customFormat="false" ht="15" hidden="false" customHeight="true" outlineLevel="0" collapsed="false">
      <c r="A213" s="1" t="n">
        <v>212</v>
      </c>
      <c r="B213" s="1" t="s">
        <v>538</v>
      </c>
      <c r="C213" s="1" t="s">
        <v>539</v>
      </c>
      <c r="D213" s="1" t="s">
        <v>540</v>
      </c>
      <c r="E213" s="1" t="n">
        <v>43740.78</v>
      </c>
      <c r="F213" s="1" t="s">
        <v>39</v>
      </c>
      <c r="G213" s="1" t="s">
        <v>198</v>
      </c>
      <c r="H213" s="1" t="s">
        <v>41</v>
      </c>
      <c r="I213" s="1" t="s">
        <v>11</v>
      </c>
      <c r="J213" s="1" t="s">
        <v>35</v>
      </c>
    </row>
    <row r="214" customFormat="false" ht="15" hidden="false" customHeight="true" outlineLevel="0" collapsed="false">
      <c r="A214" s="1" t="n">
        <v>213</v>
      </c>
      <c r="B214" s="1" t="s">
        <v>538</v>
      </c>
      <c r="C214" s="1" t="s">
        <v>539</v>
      </c>
      <c r="D214" s="1" t="s">
        <v>540</v>
      </c>
      <c r="E214" s="1" t="n">
        <v>43740.78</v>
      </c>
      <c r="F214" s="1" t="s">
        <v>39</v>
      </c>
      <c r="G214" s="1" t="s">
        <v>198</v>
      </c>
      <c r="H214" s="1" t="s">
        <v>41</v>
      </c>
      <c r="I214" s="1" t="s">
        <v>13</v>
      </c>
      <c r="J214" s="1" t="s">
        <v>34</v>
      </c>
    </row>
    <row r="215" customFormat="false" ht="15" hidden="false" customHeight="true" outlineLevel="0" collapsed="false">
      <c r="A215" s="1" t="n">
        <v>214</v>
      </c>
      <c r="B215" s="1" t="s">
        <v>541</v>
      </c>
      <c r="C215" s="1" t="s">
        <v>542</v>
      </c>
      <c r="D215" s="1" t="s">
        <v>48</v>
      </c>
      <c r="E215" s="1" t="n">
        <v>47287.65</v>
      </c>
      <c r="F215" s="1" t="s">
        <v>39</v>
      </c>
      <c r="G215" s="1" t="s">
        <v>482</v>
      </c>
      <c r="H215" s="1" t="s">
        <v>51</v>
      </c>
      <c r="I215" s="1" t="s">
        <v>11</v>
      </c>
      <c r="J215" s="1" t="s">
        <v>35</v>
      </c>
    </row>
    <row r="216" customFormat="false" ht="15" hidden="false" customHeight="true" outlineLevel="0" collapsed="false">
      <c r="A216" s="1" t="n">
        <v>215</v>
      </c>
      <c r="B216" s="1" t="s">
        <v>541</v>
      </c>
      <c r="C216" s="1" t="s">
        <v>542</v>
      </c>
      <c r="D216" s="1" t="s">
        <v>48</v>
      </c>
      <c r="E216" s="1" t="n">
        <v>47287.65</v>
      </c>
      <c r="F216" s="1" t="s">
        <v>39</v>
      </c>
      <c r="G216" s="1" t="s">
        <v>482</v>
      </c>
      <c r="H216" s="1" t="s">
        <v>51</v>
      </c>
      <c r="I216" s="1" t="s">
        <v>13</v>
      </c>
      <c r="J216" s="1" t="s">
        <v>34</v>
      </c>
    </row>
    <row r="217" customFormat="false" ht="15" hidden="false" customHeight="true" outlineLevel="0" collapsed="false">
      <c r="A217" s="1" t="n">
        <v>216</v>
      </c>
      <c r="B217" s="1" t="s">
        <v>543</v>
      </c>
      <c r="C217" s="1" t="s">
        <v>544</v>
      </c>
      <c r="D217" s="1" t="s">
        <v>545</v>
      </c>
      <c r="E217" s="1" t="n">
        <v>22541.22</v>
      </c>
      <c r="F217" s="1" t="s">
        <v>39</v>
      </c>
      <c r="G217" s="1" t="s">
        <v>95</v>
      </c>
      <c r="H217" s="1" t="s">
        <v>61</v>
      </c>
      <c r="I217" s="1" t="s">
        <v>11</v>
      </c>
      <c r="J217" s="1" t="s">
        <v>35</v>
      </c>
    </row>
    <row r="218" customFormat="false" ht="15" hidden="false" customHeight="true" outlineLevel="0" collapsed="false">
      <c r="A218" s="1" t="n">
        <v>217</v>
      </c>
      <c r="B218" s="1" t="s">
        <v>546</v>
      </c>
      <c r="C218" s="1" t="s">
        <v>547</v>
      </c>
      <c r="D218" s="1" t="s">
        <v>347</v>
      </c>
      <c r="E218" s="1" t="n">
        <v>17942.95</v>
      </c>
      <c r="F218" s="1" t="s">
        <v>31</v>
      </c>
      <c r="G218" s="1" t="s">
        <v>128</v>
      </c>
      <c r="H218" s="1" t="s">
        <v>57</v>
      </c>
      <c r="I218" s="1" t="s">
        <v>12</v>
      </c>
      <c r="J218" s="1" t="s">
        <v>35</v>
      </c>
    </row>
    <row r="219" customFormat="false" ht="15" hidden="false" customHeight="true" outlineLevel="0" collapsed="false">
      <c r="A219" s="1" t="n">
        <v>218</v>
      </c>
      <c r="B219" s="1" t="s">
        <v>548</v>
      </c>
      <c r="C219" s="1" t="s">
        <v>549</v>
      </c>
      <c r="D219" s="1" t="s">
        <v>550</v>
      </c>
      <c r="E219" s="1" t="n">
        <v>46041.46</v>
      </c>
      <c r="F219" s="1" t="s">
        <v>39</v>
      </c>
      <c r="G219" s="1" t="s">
        <v>157</v>
      </c>
      <c r="H219" s="1" t="s">
        <v>65</v>
      </c>
      <c r="I219" s="1" t="s">
        <v>11</v>
      </c>
      <c r="J219" s="1" t="s">
        <v>35</v>
      </c>
    </row>
    <row r="220" customFormat="false" ht="15" hidden="false" customHeight="true" outlineLevel="0" collapsed="false">
      <c r="A220" s="1" t="n">
        <v>219</v>
      </c>
      <c r="B220" s="1" t="s">
        <v>548</v>
      </c>
      <c r="C220" s="1" t="s">
        <v>549</v>
      </c>
      <c r="D220" s="1" t="s">
        <v>550</v>
      </c>
      <c r="E220" s="1" t="n">
        <v>46041.46</v>
      </c>
      <c r="F220" s="1" t="s">
        <v>39</v>
      </c>
      <c r="G220" s="1" t="s">
        <v>157</v>
      </c>
      <c r="H220" s="1" t="s">
        <v>65</v>
      </c>
      <c r="I220" s="1" t="s">
        <v>13</v>
      </c>
      <c r="J220" s="1" t="s">
        <v>34</v>
      </c>
    </row>
    <row r="221" customFormat="false" ht="15" hidden="false" customHeight="true" outlineLevel="0" collapsed="false">
      <c r="A221" s="1" t="n">
        <v>220</v>
      </c>
      <c r="B221" s="1" t="s">
        <v>551</v>
      </c>
      <c r="C221" s="1" t="s">
        <v>552</v>
      </c>
      <c r="D221" s="1" t="s">
        <v>553</v>
      </c>
      <c r="E221" s="1" t="n">
        <v>35327.49</v>
      </c>
      <c r="F221" s="1" t="s">
        <v>49</v>
      </c>
      <c r="G221" s="1" t="s">
        <v>32</v>
      </c>
      <c r="H221" s="1" t="s">
        <v>33</v>
      </c>
      <c r="I221" s="1" t="s">
        <v>10</v>
      </c>
      <c r="J221" s="1" t="s">
        <v>34</v>
      </c>
    </row>
    <row r="222" customFormat="false" ht="15" hidden="false" customHeight="true" outlineLevel="0" collapsed="false">
      <c r="A222" s="1" t="n">
        <v>221</v>
      </c>
      <c r="B222" s="1" t="s">
        <v>554</v>
      </c>
      <c r="C222" s="1" t="s">
        <v>555</v>
      </c>
      <c r="D222" s="1" t="s">
        <v>556</v>
      </c>
      <c r="E222" s="1" t="n">
        <v>48068.5</v>
      </c>
      <c r="F222" s="1" t="s">
        <v>79</v>
      </c>
      <c r="G222" s="1" t="s">
        <v>166</v>
      </c>
      <c r="H222" s="1" t="s">
        <v>33</v>
      </c>
      <c r="I222" s="1" t="s">
        <v>13</v>
      </c>
      <c r="J222" s="1" t="s">
        <v>34</v>
      </c>
    </row>
    <row r="223" customFormat="false" ht="15" hidden="false" customHeight="true" outlineLevel="0" collapsed="false">
      <c r="A223" s="1" t="n">
        <v>222</v>
      </c>
      <c r="B223" s="1" t="s">
        <v>557</v>
      </c>
      <c r="C223" s="1" t="s">
        <v>558</v>
      </c>
      <c r="D223" s="1" t="s">
        <v>559</v>
      </c>
      <c r="E223" s="1" t="n">
        <v>45161.68</v>
      </c>
      <c r="F223" s="1" t="s">
        <v>79</v>
      </c>
      <c r="G223" s="1" t="s">
        <v>32</v>
      </c>
      <c r="H223" s="1" t="s">
        <v>51</v>
      </c>
      <c r="I223" s="1" t="s">
        <v>10</v>
      </c>
      <c r="J223" s="1" t="s">
        <v>34</v>
      </c>
    </row>
    <row r="224" customFormat="false" ht="15" hidden="false" customHeight="true" outlineLevel="0" collapsed="false">
      <c r="A224" s="1" t="n">
        <v>223</v>
      </c>
      <c r="B224" s="1" t="s">
        <v>557</v>
      </c>
      <c r="C224" s="1" t="s">
        <v>558</v>
      </c>
      <c r="D224" s="1" t="s">
        <v>559</v>
      </c>
      <c r="E224" s="1" t="n">
        <v>45161.68</v>
      </c>
      <c r="F224" s="1" t="s">
        <v>79</v>
      </c>
      <c r="G224" s="1" t="s">
        <v>32</v>
      </c>
      <c r="H224" s="1" t="s">
        <v>51</v>
      </c>
      <c r="I224" s="1" t="s">
        <v>13</v>
      </c>
      <c r="J224" s="1" t="s">
        <v>34</v>
      </c>
    </row>
    <row r="225" customFormat="false" ht="15" hidden="false" customHeight="true" outlineLevel="0" collapsed="false">
      <c r="A225" s="1" t="n">
        <v>224</v>
      </c>
      <c r="B225" s="1" t="s">
        <v>560</v>
      </c>
      <c r="C225" s="1" t="s">
        <v>561</v>
      </c>
      <c r="D225" s="1" t="s">
        <v>562</v>
      </c>
      <c r="E225" s="1" t="n">
        <v>30257.73</v>
      </c>
      <c r="F225" s="1" t="s">
        <v>31</v>
      </c>
      <c r="G225" s="1" t="s">
        <v>80</v>
      </c>
      <c r="H225" s="1" t="s">
        <v>65</v>
      </c>
      <c r="I225" s="1" t="s">
        <v>12</v>
      </c>
      <c r="J225" s="1" t="s">
        <v>35</v>
      </c>
    </row>
    <row r="226" customFormat="false" ht="15" hidden="false" customHeight="true" outlineLevel="0" collapsed="false">
      <c r="A226" s="1" t="n">
        <v>225</v>
      </c>
      <c r="B226" s="1" t="s">
        <v>563</v>
      </c>
      <c r="C226" s="1" t="s">
        <v>564</v>
      </c>
      <c r="D226" s="1" t="s">
        <v>565</v>
      </c>
      <c r="E226" s="1" t="n">
        <v>41563.05</v>
      </c>
      <c r="F226" s="1" t="s">
        <v>31</v>
      </c>
      <c r="G226" s="1" t="s">
        <v>166</v>
      </c>
      <c r="H226" s="1" t="s">
        <v>61</v>
      </c>
      <c r="I226" s="1" t="s">
        <v>12</v>
      </c>
      <c r="J226" s="1" t="s">
        <v>35</v>
      </c>
    </row>
    <row r="227" customFormat="false" ht="15" hidden="false" customHeight="true" outlineLevel="0" collapsed="false">
      <c r="A227" s="1" t="n">
        <v>226</v>
      </c>
      <c r="B227" s="1" t="s">
        <v>563</v>
      </c>
      <c r="C227" s="1" t="s">
        <v>564</v>
      </c>
      <c r="D227" s="1" t="s">
        <v>565</v>
      </c>
      <c r="E227" s="1" t="n">
        <v>41563.05</v>
      </c>
      <c r="F227" s="1" t="s">
        <v>31</v>
      </c>
      <c r="G227" s="1" t="s">
        <v>166</v>
      </c>
      <c r="H227" s="1" t="s">
        <v>61</v>
      </c>
      <c r="I227" s="1" t="s">
        <v>13</v>
      </c>
      <c r="J227" s="1" t="s">
        <v>34</v>
      </c>
    </row>
    <row r="228" customFormat="false" ht="15" hidden="false" customHeight="true" outlineLevel="0" collapsed="false">
      <c r="A228" s="1" t="n">
        <v>227</v>
      </c>
      <c r="B228" s="1" t="s">
        <v>566</v>
      </c>
      <c r="C228" s="1" t="s">
        <v>567</v>
      </c>
      <c r="D228" s="1" t="s">
        <v>204</v>
      </c>
      <c r="E228" s="1" t="n">
        <v>24573.78</v>
      </c>
      <c r="F228" s="1" t="s">
        <v>79</v>
      </c>
      <c r="G228" s="1" t="s">
        <v>56</v>
      </c>
      <c r="H228" s="1" t="s">
        <v>41</v>
      </c>
      <c r="I228" s="1" t="s">
        <v>10</v>
      </c>
      <c r="J228" s="1" t="s">
        <v>34</v>
      </c>
    </row>
    <row r="229" customFormat="false" ht="15" hidden="false" customHeight="true" outlineLevel="0" collapsed="false">
      <c r="A229" s="1" t="n">
        <v>228</v>
      </c>
      <c r="B229" s="1" t="s">
        <v>568</v>
      </c>
      <c r="C229" s="1" t="s">
        <v>569</v>
      </c>
      <c r="D229" s="1" t="s">
        <v>472</v>
      </c>
      <c r="E229" s="1" t="n">
        <v>28192.37</v>
      </c>
      <c r="F229" s="1" t="s">
        <v>39</v>
      </c>
      <c r="G229" s="1" t="s">
        <v>45</v>
      </c>
      <c r="H229" s="1" t="s">
        <v>41</v>
      </c>
      <c r="I229" s="1" t="s">
        <v>11</v>
      </c>
      <c r="J229" s="1" t="s">
        <v>35</v>
      </c>
    </row>
    <row r="230" customFormat="false" ht="15" hidden="false" customHeight="true" outlineLevel="0" collapsed="false">
      <c r="A230" s="1" t="n">
        <v>229</v>
      </c>
      <c r="B230" s="1" t="s">
        <v>570</v>
      </c>
      <c r="C230" s="1" t="s">
        <v>571</v>
      </c>
      <c r="D230" s="1" t="s">
        <v>572</v>
      </c>
      <c r="E230" s="1" t="n">
        <v>16808.42</v>
      </c>
      <c r="F230" s="1" t="s">
        <v>55</v>
      </c>
      <c r="G230" s="1" t="s">
        <v>32</v>
      </c>
      <c r="H230" s="1" t="s">
        <v>65</v>
      </c>
      <c r="I230" s="1" t="s">
        <v>10</v>
      </c>
      <c r="J230" s="1" t="s">
        <v>34</v>
      </c>
    </row>
    <row r="231" customFormat="false" ht="15" hidden="false" customHeight="true" outlineLevel="0" collapsed="false">
      <c r="A231" s="1" t="n">
        <v>230</v>
      </c>
      <c r="B231" s="1" t="s">
        <v>573</v>
      </c>
      <c r="C231" s="1" t="s">
        <v>574</v>
      </c>
      <c r="D231" s="1" t="s">
        <v>575</v>
      </c>
      <c r="E231" s="1" t="n">
        <v>22127.26</v>
      </c>
      <c r="F231" s="1" t="s">
        <v>31</v>
      </c>
      <c r="G231" s="1" t="s">
        <v>135</v>
      </c>
      <c r="H231" s="1" t="s">
        <v>65</v>
      </c>
      <c r="I231" s="1" t="s">
        <v>12</v>
      </c>
      <c r="J231" s="1" t="s">
        <v>35</v>
      </c>
    </row>
    <row r="232" customFormat="false" ht="15" hidden="false" customHeight="true" outlineLevel="0" collapsed="false">
      <c r="A232" s="1" t="n">
        <v>231</v>
      </c>
      <c r="B232" s="1" t="s">
        <v>576</v>
      </c>
      <c r="C232" s="1" t="s">
        <v>577</v>
      </c>
      <c r="D232" s="1" t="s">
        <v>540</v>
      </c>
      <c r="E232" s="1" t="n">
        <v>5503.75</v>
      </c>
      <c r="F232" s="1" t="s">
        <v>31</v>
      </c>
      <c r="G232" s="1" t="s">
        <v>56</v>
      </c>
      <c r="H232" s="1" t="s">
        <v>65</v>
      </c>
      <c r="I232" s="1" t="s">
        <v>10</v>
      </c>
      <c r="J232" s="1" t="s">
        <v>34</v>
      </c>
    </row>
    <row r="233" customFormat="false" ht="15" hidden="false" customHeight="true" outlineLevel="0" collapsed="false">
      <c r="A233" s="1" t="n">
        <v>232</v>
      </c>
      <c r="B233" s="1" t="s">
        <v>576</v>
      </c>
      <c r="C233" s="1" t="s">
        <v>577</v>
      </c>
      <c r="D233" s="1" t="s">
        <v>540</v>
      </c>
      <c r="E233" s="1" t="n">
        <v>5503.75</v>
      </c>
      <c r="F233" s="1" t="s">
        <v>31</v>
      </c>
      <c r="G233" s="1" t="s">
        <v>56</v>
      </c>
      <c r="H233" s="1" t="s">
        <v>65</v>
      </c>
      <c r="I233" s="1" t="s">
        <v>12</v>
      </c>
      <c r="J233" s="1" t="s">
        <v>35</v>
      </c>
    </row>
    <row r="234" customFormat="false" ht="15" hidden="false" customHeight="true" outlineLevel="0" collapsed="false">
      <c r="A234" s="1" t="n">
        <v>233</v>
      </c>
      <c r="B234" s="1" t="s">
        <v>578</v>
      </c>
      <c r="C234" s="1" t="s">
        <v>579</v>
      </c>
      <c r="D234" s="1" t="s">
        <v>332</v>
      </c>
      <c r="E234" s="1" t="n">
        <v>13063.56</v>
      </c>
      <c r="F234" s="1" t="s">
        <v>39</v>
      </c>
      <c r="G234" s="1" t="s">
        <v>80</v>
      </c>
      <c r="H234" s="1" t="s">
        <v>57</v>
      </c>
      <c r="I234" s="1" t="s">
        <v>11</v>
      </c>
      <c r="J234" s="1" t="s">
        <v>35</v>
      </c>
    </row>
    <row r="235" customFormat="false" ht="15" hidden="false" customHeight="true" outlineLevel="0" collapsed="false">
      <c r="A235" s="1" t="n">
        <v>234</v>
      </c>
      <c r="B235" s="1" t="s">
        <v>580</v>
      </c>
      <c r="C235" s="1" t="s">
        <v>581</v>
      </c>
      <c r="D235" s="1" t="s">
        <v>582</v>
      </c>
      <c r="E235" s="1" t="n">
        <v>20455.41</v>
      </c>
      <c r="F235" s="1" t="s">
        <v>39</v>
      </c>
      <c r="G235" s="1" t="s">
        <v>95</v>
      </c>
      <c r="H235" s="1" t="s">
        <v>33</v>
      </c>
      <c r="I235" s="1" t="s">
        <v>11</v>
      </c>
      <c r="J235" s="1" t="s">
        <v>35</v>
      </c>
    </row>
    <row r="236" customFormat="false" ht="15" hidden="false" customHeight="true" outlineLevel="0" collapsed="false">
      <c r="A236" s="1" t="n">
        <v>235</v>
      </c>
      <c r="B236" s="1" t="s">
        <v>583</v>
      </c>
      <c r="C236" s="1" t="s">
        <v>584</v>
      </c>
      <c r="D236" s="1" t="s">
        <v>585</v>
      </c>
      <c r="E236" s="1" t="n">
        <v>22105.6</v>
      </c>
      <c r="F236" s="1" t="s">
        <v>39</v>
      </c>
      <c r="G236" s="1" t="s">
        <v>482</v>
      </c>
      <c r="H236" s="1" t="s">
        <v>51</v>
      </c>
      <c r="I236" s="1" t="s">
        <v>11</v>
      </c>
      <c r="J236" s="1" t="s">
        <v>35</v>
      </c>
    </row>
    <row r="237" customFormat="false" ht="15" hidden="false" customHeight="true" outlineLevel="0" collapsed="false">
      <c r="A237" s="1" t="n">
        <v>236</v>
      </c>
      <c r="B237" s="1" t="s">
        <v>586</v>
      </c>
      <c r="C237" s="1" t="s">
        <v>587</v>
      </c>
      <c r="D237" s="1" t="s">
        <v>588</v>
      </c>
      <c r="E237" s="1" t="n">
        <v>37471.07</v>
      </c>
      <c r="F237" s="1" t="s">
        <v>39</v>
      </c>
      <c r="G237" s="1" t="s">
        <v>84</v>
      </c>
      <c r="H237" s="1" t="s">
        <v>41</v>
      </c>
      <c r="I237" s="1" t="s">
        <v>10</v>
      </c>
      <c r="J237" s="1" t="s">
        <v>34</v>
      </c>
    </row>
    <row r="238" customFormat="false" ht="15" hidden="false" customHeight="true" outlineLevel="0" collapsed="false">
      <c r="A238" s="1" t="n">
        <v>237</v>
      </c>
      <c r="B238" s="1" t="s">
        <v>586</v>
      </c>
      <c r="C238" s="1" t="s">
        <v>587</v>
      </c>
      <c r="D238" s="1" t="s">
        <v>588</v>
      </c>
      <c r="E238" s="1" t="n">
        <v>37471.07</v>
      </c>
      <c r="F238" s="1" t="s">
        <v>39</v>
      </c>
      <c r="G238" s="1" t="s">
        <v>84</v>
      </c>
      <c r="H238" s="1" t="s">
        <v>41</v>
      </c>
      <c r="I238" s="1" t="s">
        <v>11</v>
      </c>
      <c r="J238" s="1" t="s">
        <v>35</v>
      </c>
    </row>
    <row r="239" customFormat="false" ht="15" hidden="false" customHeight="true" outlineLevel="0" collapsed="false">
      <c r="A239" s="1" t="n">
        <v>238</v>
      </c>
      <c r="B239" s="1" t="s">
        <v>589</v>
      </c>
      <c r="C239" s="1" t="s">
        <v>590</v>
      </c>
      <c r="D239" s="1" t="s">
        <v>591</v>
      </c>
      <c r="E239" s="1" t="n">
        <v>38645.87</v>
      </c>
      <c r="F239" s="1" t="s">
        <v>31</v>
      </c>
      <c r="G239" s="1" t="s">
        <v>124</v>
      </c>
      <c r="H239" s="1" t="s">
        <v>41</v>
      </c>
      <c r="I239" s="1" t="s">
        <v>12</v>
      </c>
      <c r="J239" s="1" t="s">
        <v>35</v>
      </c>
    </row>
    <row r="240" customFormat="false" ht="15" hidden="false" customHeight="true" outlineLevel="0" collapsed="false">
      <c r="A240" s="1" t="n">
        <v>239</v>
      </c>
      <c r="B240" s="1" t="s">
        <v>592</v>
      </c>
      <c r="C240" s="1" t="s">
        <v>593</v>
      </c>
      <c r="D240" s="1" t="s">
        <v>245</v>
      </c>
      <c r="E240" s="1" t="n">
        <v>11787.36</v>
      </c>
      <c r="F240" s="1" t="s">
        <v>39</v>
      </c>
      <c r="G240" s="1" t="s">
        <v>114</v>
      </c>
      <c r="H240" s="1" t="s">
        <v>57</v>
      </c>
      <c r="I240" s="1" t="s">
        <v>11</v>
      </c>
      <c r="J240" s="1" t="s">
        <v>35</v>
      </c>
    </row>
    <row r="241" customFormat="false" ht="15" hidden="false" customHeight="true" outlineLevel="0" collapsed="false">
      <c r="A241" s="1" t="n">
        <v>240</v>
      </c>
      <c r="B241" s="1" t="s">
        <v>594</v>
      </c>
      <c r="C241" s="1" t="s">
        <v>595</v>
      </c>
      <c r="D241" s="1" t="s">
        <v>318</v>
      </c>
      <c r="E241" s="1" t="n">
        <v>30635.55</v>
      </c>
      <c r="F241" s="1" t="s">
        <v>55</v>
      </c>
      <c r="G241" s="1" t="s">
        <v>56</v>
      </c>
      <c r="H241" s="1" t="s">
        <v>61</v>
      </c>
      <c r="I241" s="1" t="s">
        <v>10</v>
      </c>
      <c r="J241" s="1" t="s">
        <v>34</v>
      </c>
    </row>
    <row r="242" customFormat="false" ht="15" hidden="false" customHeight="true" outlineLevel="0" collapsed="false">
      <c r="A242" s="1" t="n">
        <v>241</v>
      </c>
      <c r="B242" s="1" t="s">
        <v>596</v>
      </c>
      <c r="C242" s="1" t="s">
        <v>597</v>
      </c>
      <c r="D242" s="1" t="s">
        <v>156</v>
      </c>
      <c r="E242" s="1" t="n">
        <v>27281.99</v>
      </c>
      <c r="F242" s="1" t="s">
        <v>39</v>
      </c>
      <c r="G242" s="1" t="s">
        <v>128</v>
      </c>
      <c r="H242" s="1" t="s">
        <v>51</v>
      </c>
      <c r="I242" s="1" t="s">
        <v>11</v>
      </c>
      <c r="J242" s="1" t="s">
        <v>35</v>
      </c>
    </row>
    <row r="243" customFormat="false" ht="15" hidden="false" customHeight="true" outlineLevel="0" collapsed="false">
      <c r="A243" s="1" t="n">
        <v>242</v>
      </c>
      <c r="B243" s="1" t="s">
        <v>598</v>
      </c>
      <c r="C243" s="1" t="s">
        <v>599</v>
      </c>
      <c r="D243" s="1" t="s">
        <v>422</v>
      </c>
      <c r="E243" s="1" t="n">
        <v>41859.66</v>
      </c>
      <c r="F243" s="1" t="s">
        <v>55</v>
      </c>
      <c r="G243" s="1" t="s">
        <v>166</v>
      </c>
      <c r="H243" s="1" t="s">
        <v>65</v>
      </c>
      <c r="I243" s="1" t="s">
        <v>13</v>
      </c>
      <c r="J243" s="1" t="s">
        <v>34</v>
      </c>
    </row>
    <row r="244" customFormat="false" ht="15" hidden="false" customHeight="true" outlineLevel="0" collapsed="false">
      <c r="A244" s="1" t="n">
        <v>243</v>
      </c>
      <c r="B244" s="1" t="s">
        <v>600</v>
      </c>
      <c r="C244" s="1" t="s">
        <v>601</v>
      </c>
      <c r="D244" s="1" t="s">
        <v>274</v>
      </c>
      <c r="E244" s="1" t="n">
        <v>41238.63</v>
      </c>
      <c r="F244" s="1" t="s">
        <v>91</v>
      </c>
      <c r="G244" s="1" t="s">
        <v>482</v>
      </c>
      <c r="H244" s="1" t="s">
        <v>57</v>
      </c>
      <c r="I244" s="1" t="s">
        <v>13</v>
      </c>
      <c r="J244" s="1" t="s">
        <v>34</v>
      </c>
    </row>
    <row r="245" customFormat="false" ht="15" hidden="false" customHeight="true" outlineLevel="0" collapsed="false">
      <c r="A245" s="1" t="n">
        <v>244</v>
      </c>
      <c r="B245" s="1" t="s">
        <v>602</v>
      </c>
      <c r="C245" s="1" t="s">
        <v>603</v>
      </c>
      <c r="D245" s="1" t="s">
        <v>604</v>
      </c>
      <c r="E245" s="1" t="n">
        <v>11585.88</v>
      </c>
      <c r="F245" s="1" t="s">
        <v>31</v>
      </c>
      <c r="G245" s="1" t="s">
        <v>80</v>
      </c>
      <c r="H245" s="1" t="s">
        <v>33</v>
      </c>
      <c r="I245" s="1" t="s">
        <v>12</v>
      </c>
      <c r="J245" s="1" t="s">
        <v>35</v>
      </c>
    </row>
    <row r="246" customFormat="false" ht="15" hidden="false" customHeight="true" outlineLevel="0" collapsed="false">
      <c r="A246" s="1" t="n">
        <v>245</v>
      </c>
      <c r="B246" s="1" t="s">
        <v>605</v>
      </c>
      <c r="C246" s="1" t="s">
        <v>606</v>
      </c>
      <c r="D246" s="1" t="s">
        <v>286</v>
      </c>
      <c r="E246" s="1" t="n">
        <v>19052.49</v>
      </c>
      <c r="F246" s="1" t="s">
        <v>31</v>
      </c>
      <c r="G246" s="1" t="s">
        <v>211</v>
      </c>
      <c r="H246" s="1" t="s">
        <v>61</v>
      </c>
      <c r="I246" s="1" t="s">
        <v>12</v>
      </c>
      <c r="J246" s="1" t="s">
        <v>35</v>
      </c>
    </row>
    <row r="247" customFormat="false" ht="15" hidden="false" customHeight="true" outlineLevel="0" collapsed="false">
      <c r="A247" s="1" t="n">
        <v>246</v>
      </c>
      <c r="B247" s="1" t="s">
        <v>607</v>
      </c>
      <c r="C247" s="1" t="s">
        <v>608</v>
      </c>
      <c r="D247" s="1" t="s">
        <v>609</v>
      </c>
      <c r="E247" s="1" t="n">
        <v>10844.56</v>
      </c>
      <c r="F247" s="1" t="s">
        <v>49</v>
      </c>
      <c r="G247" s="1" t="s">
        <v>56</v>
      </c>
      <c r="H247" s="1" t="s">
        <v>51</v>
      </c>
      <c r="I247" s="1" t="s">
        <v>10</v>
      </c>
      <c r="J247" s="1" t="s">
        <v>34</v>
      </c>
    </row>
    <row r="248" customFormat="false" ht="15" hidden="false" customHeight="true" outlineLevel="0" collapsed="false">
      <c r="A248" s="1" t="n">
        <v>247</v>
      </c>
      <c r="B248" s="1" t="s">
        <v>610</v>
      </c>
      <c r="C248" s="1" t="s">
        <v>611</v>
      </c>
      <c r="D248" s="1" t="s">
        <v>612</v>
      </c>
      <c r="E248" s="1" t="n">
        <v>11236.52</v>
      </c>
      <c r="F248" s="1" t="s">
        <v>39</v>
      </c>
      <c r="G248" s="1" t="s">
        <v>40</v>
      </c>
      <c r="H248" s="1" t="s">
        <v>33</v>
      </c>
      <c r="I248" s="1" t="s">
        <v>11</v>
      </c>
      <c r="J248" s="1" t="s">
        <v>35</v>
      </c>
    </row>
    <row r="249" customFormat="false" ht="15" hidden="false" customHeight="true" outlineLevel="0" collapsed="false">
      <c r="A249" s="1" t="n">
        <v>248</v>
      </c>
      <c r="B249" s="1" t="s">
        <v>613</v>
      </c>
      <c r="C249" s="1" t="s">
        <v>614</v>
      </c>
      <c r="D249" s="1" t="s">
        <v>615</v>
      </c>
      <c r="E249" s="1" t="n">
        <v>22456.48</v>
      </c>
      <c r="F249" s="1" t="s">
        <v>49</v>
      </c>
      <c r="G249" s="1" t="s">
        <v>50</v>
      </c>
      <c r="H249" s="1" t="s">
        <v>61</v>
      </c>
      <c r="I249" s="1" t="s">
        <v>10</v>
      </c>
      <c r="J249" s="1" t="s">
        <v>34</v>
      </c>
    </row>
    <row r="250" customFormat="false" ht="15" hidden="false" customHeight="true" outlineLevel="0" collapsed="false">
      <c r="A250" s="1" t="n">
        <v>249</v>
      </c>
      <c r="B250" s="1" t="s">
        <v>616</v>
      </c>
      <c r="C250" s="1" t="s">
        <v>617</v>
      </c>
      <c r="D250" s="1" t="s">
        <v>430</v>
      </c>
      <c r="E250" s="1" t="n">
        <v>44994.21</v>
      </c>
      <c r="F250" s="1" t="s">
        <v>31</v>
      </c>
      <c r="G250" s="1" t="s">
        <v>166</v>
      </c>
      <c r="H250" s="1" t="s">
        <v>41</v>
      </c>
      <c r="I250" s="1" t="s">
        <v>12</v>
      </c>
      <c r="J250" s="1" t="s">
        <v>35</v>
      </c>
    </row>
    <row r="251" customFormat="false" ht="15" hidden="false" customHeight="true" outlineLevel="0" collapsed="false">
      <c r="A251" s="1" t="n">
        <v>250</v>
      </c>
      <c r="B251" s="1" t="s">
        <v>616</v>
      </c>
      <c r="C251" s="1" t="s">
        <v>617</v>
      </c>
      <c r="D251" s="1" t="s">
        <v>430</v>
      </c>
      <c r="E251" s="1" t="n">
        <v>44994.21</v>
      </c>
      <c r="F251" s="1" t="s">
        <v>31</v>
      </c>
      <c r="G251" s="1" t="s">
        <v>166</v>
      </c>
      <c r="H251" s="1" t="s">
        <v>41</v>
      </c>
      <c r="I251" s="1" t="s">
        <v>13</v>
      </c>
      <c r="J251" s="1" t="s">
        <v>34</v>
      </c>
    </row>
    <row r="252" customFormat="false" ht="15" hidden="false" customHeight="true" outlineLevel="0" collapsed="false">
      <c r="A252" s="1" t="n">
        <v>251</v>
      </c>
      <c r="B252" s="1" t="s">
        <v>618</v>
      </c>
      <c r="C252" s="1" t="s">
        <v>619</v>
      </c>
      <c r="D252" s="1" t="s">
        <v>620</v>
      </c>
      <c r="E252" s="1" t="n">
        <v>22721.21</v>
      </c>
      <c r="F252" s="1" t="s">
        <v>31</v>
      </c>
      <c r="G252" s="1" t="s">
        <v>72</v>
      </c>
      <c r="H252" s="1" t="s">
        <v>57</v>
      </c>
      <c r="I252" s="1" t="s">
        <v>12</v>
      </c>
      <c r="J252" s="1" t="s">
        <v>35</v>
      </c>
    </row>
    <row r="253" customFormat="false" ht="15" hidden="false" customHeight="true" outlineLevel="0" collapsed="false">
      <c r="A253" s="1" t="n">
        <v>252</v>
      </c>
      <c r="B253" s="1" t="s">
        <v>621</v>
      </c>
      <c r="C253" s="1" t="s">
        <v>622</v>
      </c>
      <c r="D253" s="1" t="s">
        <v>94</v>
      </c>
      <c r="E253" s="1" t="n">
        <v>45906.51</v>
      </c>
      <c r="F253" s="1" t="s">
        <v>49</v>
      </c>
      <c r="G253" s="1" t="s">
        <v>114</v>
      </c>
      <c r="H253" s="1" t="s">
        <v>61</v>
      </c>
      <c r="I253" s="1" t="s">
        <v>13</v>
      </c>
      <c r="J253" s="1" t="s">
        <v>34</v>
      </c>
    </row>
    <row r="254" customFormat="false" ht="15" hidden="false" customHeight="true" outlineLevel="0" collapsed="false">
      <c r="A254" s="1" t="n">
        <v>253</v>
      </c>
      <c r="B254" s="1" t="s">
        <v>623</v>
      </c>
      <c r="C254" s="1" t="s">
        <v>624</v>
      </c>
      <c r="D254" s="1" t="s">
        <v>625</v>
      </c>
      <c r="E254" s="1" t="n">
        <v>46627.44</v>
      </c>
      <c r="F254" s="1" t="s">
        <v>79</v>
      </c>
      <c r="G254" s="1" t="s">
        <v>166</v>
      </c>
      <c r="H254" s="1" t="s">
        <v>33</v>
      </c>
      <c r="I254" s="1" t="s">
        <v>13</v>
      </c>
      <c r="J254" s="1" t="s">
        <v>34</v>
      </c>
    </row>
    <row r="255" customFormat="false" ht="15" hidden="false" customHeight="true" outlineLevel="0" collapsed="false">
      <c r="A255" s="1" t="n">
        <v>254</v>
      </c>
      <c r="B255" s="1" t="s">
        <v>626</v>
      </c>
      <c r="C255" s="1" t="s">
        <v>627</v>
      </c>
      <c r="D255" s="1" t="s">
        <v>628</v>
      </c>
      <c r="E255" s="1" t="n">
        <v>46212.69</v>
      </c>
      <c r="F255" s="1" t="s">
        <v>55</v>
      </c>
      <c r="G255" s="1" t="s">
        <v>157</v>
      </c>
      <c r="H255" s="1" t="s">
        <v>51</v>
      </c>
      <c r="I255" s="1" t="s">
        <v>13</v>
      </c>
      <c r="J255" s="1" t="s">
        <v>34</v>
      </c>
    </row>
    <row r="256" customFormat="false" ht="15" hidden="false" customHeight="true" outlineLevel="0" collapsed="false">
      <c r="A256" s="1" t="n">
        <v>255</v>
      </c>
      <c r="B256" s="1" t="s">
        <v>629</v>
      </c>
      <c r="C256" s="1" t="s">
        <v>630</v>
      </c>
      <c r="D256" s="1" t="s">
        <v>631</v>
      </c>
      <c r="E256" s="1" t="n">
        <v>14833.94</v>
      </c>
      <c r="F256" s="1" t="s">
        <v>31</v>
      </c>
      <c r="G256" s="1" t="s">
        <v>32</v>
      </c>
      <c r="H256" s="1" t="s">
        <v>61</v>
      </c>
      <c r="I256" s="1" t="s">
        <v>10</v>
      </c>
      <c r="J256" s="1" t="s">
        <v>34</v>
      </c>
    </row>
    <row r="257" customFormat="false" ht="15" hidden="false" customHeight="true" outlineLevel="0" collapsed="false">
      <c r="A257" s="1" t="n">
        <v>256</v>
      </c>
      <c r="B257" s="1" t="s">
        <v>629</v>
      </c>
      <c r="C257" s="1" t="s">
        <v>630</v>
      </c>
      <c r="D257" s="1" t="s">
        <v>631</v>
      </c>
      <c r="E257" s="1" t="n">
        <v>14833.94</v>
      </c>
      <c r="F257" s="1" t="s">
        <v>31</v>
      </c>
      <c r="G257" s="1" t="s">
        <v>32</v>
      </c>
      <c r="H257" s="1" t="s">
        <v>61</v>
      </c>
      <c r="I257" s="1" t="s">
        <v>12</v>
      </c>
      <c r="J257" s="1" t="s">
        <v>35</v>
      </c>
    </row>
    <row r="258" customFormat="false" ht="15" hidden="false" customHeight="true" outlineLevel="0" collapsed="false">
      <c r="A258" s="1" t="n">
        <v>257</v>
      </c>
      <c r="B258" s="1" t="s">
        <v>632</v>
      </c>
      <c r="C258" s="1" t="s">
        <v>633</v>
      </c>
      <c r="D258" s="1" t="s">
        <v>274</v>
      </c>
      <c r="E258" s="1" t="n">
        <v>32231.39</v>
      </c>
      <c r="F258" s="1" t="s">
        <v>31</v>
      </c>
      <c r="G258" s="1" t="s">
        <v>56</v>
      </c>
      <c r="H258" s="1" t="s">
        <v>51</v>
      </c>
      <c r="I258" s="1" t="s">
        <v>10</v>
      </c>
      <c r="J258" s="1" t="s">
        <v>34</v>
      </c>
    </row>
    <row r="259" customFormat="false" ht="15" hidden="false" customHeight="true" outlineLevel="0" collapsed="false">
      <c r="A259" s="1" t="n">
        <v>258</v>
      </c>
      <c r="B259" s="1" t="s">
        <v>632</v>
      </c>
      <c r="C259" s="1" t="s">
        <v>633</v>
      </c>
      <c r="D259" s="1" t="s">
        <v>274</v>
      </c>
      <c r="E259" s="1" t="n">
        <v>32231.39</v>
      </c>
      <c r="F259" s="1" t="s">
        <v>31</v>
      </c>
      <c r="G259" s="1" t="s">
        <v>56</v>
      </c>
      <c r="H259" s="1" t="s">
        <v>51</v>
      </c>
      <c r="I259" s="1" t="s">
        <v>12</v>
      </c>
      <c r="J259" s="1" t="s">
        <v>35</v>
      </c>
    </row>
    <row r="260" customFormat="false" ht="15" hidden="false" customHeight="true" outlineLevel="0" collapsed="false">
      <c r="A260" s="1" t="n">
        <v>259</v>
      </c>
      <c r="B260" s="1" t="s">
        <v>634</v>
      </c>
      <c r="C260" s="1" t="s">
        <v>635</v>
      </c>
      <c r="D260" s="1" t="s">
        <v>315</v>
      </c>
      <c r="E260" s="1" t="n">
        <v>1560.15</v>
      </c>
      <c r="F260" s="1" t="s">
        <v>55</v>
      </c>
      <c r="G260" s="1" t="s">
        <v>56</v>
      </c>
      <c r="H260" s="1" t="s">
        <v>33</v>
      </c>
      <c r="I260" s="1" t="s">
        <v>10</v>
      </c>
      <c r="J260" s="1" t="s">
        <v>34</v>
      </c>
    </row>
    <row r="261" customFormat="false" ht="15" hidden="false" customHeight="true" outlineLevel="0" collapsed="false">
      <c r="A261" s="1" t="n">
        <v>260</v>
      </c>
      <c r="B261" s="1" t="s">
        <v>636</v>
      </c>
      <c r="C261" s="1" t="s">
        <v>637</v>
      </c>
      <c r="D261" s="1" t="s">
        <v>556</v>
      </c>
      <c r="E261" s="1" t="n">
        <v>48785.69</v>
      </c>
      <c r="F261" s="1" t="s">
        <v>55</v>
      </c>
      <c r="G261" s="1" t="s">
        <v>114</v>
      </c>
      <c r="H261" s="1" t="s">
        <v>33</v>
      </c>
      <c r="I261" s="1" t="s">
        <v>13</v>
      </c>
      <c r="J261" s="1" t="s">
        <v>34</v>
      </c>
    </row>
    <row r="262" customFormat="false" ht="15" hidden="false" customHeight="true" outlineLevel="0" collapsed="false">
      <c r="A262" s="1" t="n">
        <v>261</v>
      </c>
      <c r="B262" s="1" t="s">
        <v>638</v>
      </c>
      <c r="C262" s="1" t="s">
        <v>639</v>
      </c>
      <c r="D262" s="1" t="s">
        <v>87</v>
      </c>
      <c r="E262" s="1" t="n">
        <v>35393.85</v>
      </c>
      <c r="F262" s="1" t="s">
        <v>79</v>
      </c>
      <c r="G262" s="1" t="s">
        <v>32</v>
      </c>
      <c r="H262" s="1" t="s">
        <v>41</v>
      </c>
      <c r="I262" s="1" t="s">
        <v>10</v>
      </c>
      <c r="J262" s="1" t="s">
        <v>34</v>
      </c>
    </row>
    <row r="263" customFormat="false" ht="15" hidden="false" customHeight="true" outlineLevel="0" collapsed="false">
      <c r="A263" s="1" t="n">
        <v>262</v>
      </c>
      <c r="B263" s="1" t="s">
        <v>640</v>
      </c>
      <c r="C263" s="1" t="s">
        <v>641</v>
      </c>
      <c r="D263" s="1" t="s">
        <v>642</v>
      </c>
      <c r="E263" s="1" t="n">
        <v>15840.93</v>
      </c>
      <c r="F263" s="1" t="s">
        <v>31</v>
      </c>
      <c r="G263" s="1" t="s">
        <v>191</v>
      </c>
      <c r="H263" s="1" t="s">
        <v>61</v>
      </c>
      <c r="I263" s="1" t="s">
        <v>12</v>
      </c>
      <c r="J263" s="1" t="s">
        <v>35</v>
      </c>
    </row>
    <row r="264" customFormat="false" ht="15" hidden="false" customHeight="true" outlineLevel="0" collapsed="false">
      <c r="A264" s="1" t="n">
        <v>263</v>
      </c>
      <c r="B264" s="1" t="s">
        <v>643</v>
      </c>
      <c r="C264" s="1" t="s">
        <v>644</v>
      </c>
      <c r="D264" s="1" t="s">
        <v>259</v>
      </c>
      <c r="E264" s="1" t="n">
        <v>32308.08</v>
      </c>
      <c r="F264" s="1" t="s">
        <v>79</v>
      </c>
      <c r="G264" s="1" t="s">
        <v>32</v>
      </c>
      <c r="H264" s="1" t="s">
        <v>51</v>
      </c>
      <c r="I264" s="1" t="s">
        <v>10</v>
      </c>
      <c r="J264" s="1" t="s">
        <v>34</v>
      </c>
    </row>
    <row r="265" customFormat="false" ht="15" hidden="false" customHeight="true" outlineLevel="0" collapsed="false">
      <c r="A265" s="1" t="n">
        <v>264</v>
      </c>
      <c r="B265" s="1" t="s">
        <v>645</v>
      </c>
      <c r="C265" s="1" t="s">
        <v>646</v>
      </c>
      <c r="D265" s="1" t="s">
        <v>647</v>
      </c>
      <c r="E265" s="1" t="n">
        <v>3631.92</v>
      </c>
      <c r="F265" s="1" t="s">
        <v>55</v>
      </c>
      <c r="G265" s="1" t="s">
        <v>32</v>
      </c>
      <c r="H265" s="1" t="s">
        <v>41</v>
      </c>
      <c r="I265" s="1" t="s">
        <v>10</v>
      </c>
      <c r="J265" s="1" t="s">
        <v>34</v>
      </c>
    </row>
    <row r="266" customFormat="false" ht="15" hidden="false" customHeight="true" outlineLevel="0" collapsed="false">
      <c r="A266" s="1" t="n">
        <v>265</v>
      </c>
      <c r="B266" s="1" t="s">
        <v>648</v>
      </c>
      <c r="C266" s="1" t="s">
        <v>649</v>
      </c>
      <c r="D266" s="1" t="s">
        <v>245</v>
      </c>
      <c r="E266" s="1" t="n">
        <v>7450.12</v>
      </c>
      <c r="F266" s="1" t="s">
        <v>31</v>
      </c>
      <c r="G266" s="1" t="s">
        <v>211</v>
      </c>
      <c r="H266" s="1" t="s">
        <v>51</v>
      </c>
      <c r="I266" s="1" t="s">
        <v>12</v>
      </c>
      <c r="J266" s="1" t="s">
        <v>35</v>
      </c>
    </row>
    <row r="267" customFormat="false" ht="15" hidden="false" customHeight="true" outlineLevel="0" collapsed="false">
      <c r="A267" s="1" t="n">
        <v>266</v>
      </c>
      <c r="B267" s="1" t="s">
        <v>650</v>
      </c>
      <c r="C267" s="1" t="s">
        <v>651</v>
      </c>
      <c r="D267" s="1" t="s">
        <v>652</v>
      </c>
      <c r="E267" s="1" t="n">
        <v>38601.93</v>
      </c>
      <c r="F267" s="1" t="s">
        <v>49</v>
      </c>
      <c r="G267" s="1" t="s">
        <v>50</v>
      </c>
      <c r="H267" s="1" t="s">
        <v>41</v>
      </c>
      <c r="I267" s="1" t="s">
        <v>10</v>
      </c>
      <c r="J267" s="1" t="s">
        <v>34</v>
      </c>
    </row>
    <row r="268" customFormat="false" ht="15" hidden="false" customHeight="true" outlineLevel="0" collapsed="false">
      <c r="A268" s="1" t="n">
        <v>267</v>
      </c>
      <c r="B268" s="1" t="s">
        <v>653</v>
      </c>
      <c r="C268" s="1" t="s">
        <v>654</v>
      </c>
      <c r="D268" s="1" t="s">
        <v>228</v>
      </c>
      <c r="E268" s="1" t="n">
        <v>31375.58</v>
      </c>
      <c r="F268" s="1" t="s">
        <v>31</v>
      </c>
      <c r="G268" s="1" t="s">
        <v>40</v>
      </c>
      <c r="H268" s="1" t="s">
        <v>33</v>
      </c>
      <c r="I268" s="1" t="s">
        <v>12</v>
      </c>
      <c r="J268" s="1" t="s">
        <v>35</v>
      </c>
    </row>
    <row r="269" customFormat="false" ht="15" hidden="false" customHeight="true" outlineLevel="0" collapsed="false">
      <c r="A269" s="1" t="n">
        <v>268</v>
      </c>
      <c r="B269" s="1" t="s">
        <v>655</v>
      </c>
      <c r="C269" s="1" t="s">
        <v>656</v>
      </c>
      <c r="D269" s="1" t="s">
        <v>657</v>
      </c>
      <c r="E269" s="1" t="n">
        <v>15795.62</v>
      </c>
      <c r="F269" s="1" t="s">
        <v>91</v>
      </c>
      <c r="G269" s="1" t="s">
        <v>56</v>
      </c>
      <c r="H269" s="1" t="s">
        <v>61</v>
      </c>
      <c r="I269" s="1" t="s">
        <v>10</v>
      </c>
      <c r="J269" s="1" t="s">
        <v>34</v>
      </c>
    </row>
    <row r="270" customFormat="false" ht="15" hidden="false" customHeight="true" outlineLevel="0" collapsed="false">
      <c r="A270" s="1" t="n">
        <v>269</v>
      </c>
      <c r="B270" s="1" t="s">
        <v>658</v>
      </c>
      <c r="C270" s="1" t="s">
        <v>659</v>
      </c>
      <c r="D270" s="1" t="s">
        <v>503</v>
      </c>
      <c r="E270" s="1" t="n">
        <v>2314.79</v>
      </c>
      <c r="F270" s="1" t="s">
        <v>39</v>
      </c>
      <c r="G270" s="1" t="s">
        <v>84</v>
      </c>
      <c r="H270" s="1" t="s">
        <v>41</v>
      </c>
      <c r="I270" s="1" t="s">
        <v>10</v>
      </c>
      <c r="J270" s="1" t="s">
        <v>34</v>
      </c>
    </row>
    <row r="271" customFormat="false" ht="15" hidden="false" customHeight="true" outlineLevel="0" collapsed="false">
      <c r="A271" s="1" t="n">
        <v>270</v>
      </c>
      <c r="B271" s="1" t="s">
        <v>660</v>
      </c>
      <c r="C271" s="1" t="s">
        <v>661</v>
      </c>
      <c r="D271" s="1" t="s">
        <v>662</v>
      </c>
      <c r="E271" s="1" t="n">
        <v>47368.36</v>
      </c>
      <c r="F271" s="1" t="s">
        <v>39</v>
      </c>
      <c r="G271" s="1" t="s">
        <v>166</v>
      </c>
      <c r="H271" s="1" t="s">
        <v>61</v>
      </c>
      <c r="I271" s="1" t="s">
        <v>11</v>
      </c>
      <c r="J271" s="1" t="s">
        <v>35</v>
      </c>
    </row>
    <row r="272" customFormat="false" ht="15" hidden="false" customHeight="true" outlineLevel="0" collapsed="false">
      <c r="A272" s="1" t="n">
        <v>271</v>
      </c>
      <c r="B272" s="1" t="s">
        <v>660</v>
      </c>
      <c r="C272" s="1" t="s">
        <v>661</v>
      </c>
      <c r="D272" s="1" t="s">
        <v>662</v>
      </c>
      <c r="E272" s="1" t="n">
        <v>47368.36</v>
      </c>
      <c r="F272" s="1" t="s">
        <v>39</v>
      </c>
      <c r="G272" s="1" t="s">
        <v>166</v>
      </c>
      <c r="H272" s="1" t="s">
        <v>61</v>
      </c>
      <c r="I272" s="1" t="s">
        <v>13</v>
      </c>
      <c r="J272" s="1" t="s">
        <v>34</v>
      </c>
    </row>
    <row r="273" customFormat="false" ht="15" hidden="false" customHeight="true" outlineLevel="0" collapsed="false">
      <c r="A273" s="1" t="n">
        <v>272</v>
      </c>
      <c r="B273" s="1" t="s">
        <v>663</v>
      </c>
      <c r="C273" s="1" t="s">
        <v>664</v>
      </c>
      <c r="D273" s="1" t="s">
        <v>312</v>
      </c>
      <c r="E273" s="1" t="n">
        <v>30316.84</v>
      </c>
      <c r="F273" s="1" t="s">
        <v>31</v>
      </c>
      <c r="G273" s="1" t="s">
        <v>50</v>
      </c>
      <c r="H273" s="1" t="s">
        <v>65</v>
      </c>
      <c r="I273" s="1" t="s">
        <v>10</v>
      </c>
      <c r="J273" s="1" t="s">
        <v>34</v>
      </c>
    </row>
    <row r="274" customFormat="false" ht="15" hidden="false" customHeight="true" outlineLevel="0" collapsed="false">
      <c r="A274" s="1" t="n">
        <v>273</v>
      </c>
      <c r="B274" s="1" t="s">
        <v>663</v>
      </c>
      <c r="C274" s="1" t="s">
        <v>664</v>
      </c>
      <c r="D274" s="1" t="s">
        <v>312</v>
      </c>
      <c r="E274" s="1" t="n">
        <v>30316.84</v>
      </c>
      <c r="F274" s="1" t="s">
        <v>31</v>
      </c>
      <c r="G274" s="1" t="s">
        <v>50</v>
      </c>
      <c r="H274" s="1" t="s">
        <v>65</v>
      </c>
      <c r="I274" s="1" t="s">
        <v>12</v>
      </c>
      <c r="J274" s="1" t="s">
        <v>35</v>
      </c>
    </row>
    <row r="275" customFormat="false" ht="15" hidden="false" customHeight="true" outlineLevel="0" collapsed="false">
      <c r="A275" s="1" t="n">
        <v>274</v>
      </c>
      <c r="B275" s="1" t="s">
        <v>665</v>
      </c>
      <c r="C275" s="1" t="s">
        <v>666</v>
      </c>
      <c r="D275" s="1" t="s">
        <v>667</v>
      </c>
      <c r="E275" s="1" t="n">
        <v>46693.63</v>
      </c>
      <c r="F275" s="1" t="s">
        <v>91</v>
      </c>
      <c r="G275" s="1" t="s">
        <v>114</v>
      </c>
      <c r="H275" s="1" t="s">
        <v>41</v>
      </c>
      <c r="I275" s="1" t="s">
        <v>13</v>
      </c>
      <c r="J275" s="1" t="s">
        <v>34</v>
      </c>
    </row>
    <row r="276" customFormat="false" ht="15" hidden="false" customHeight="true" outlineLevel="0" collapsed="false">
      <c r="A276" s="1" t="n">
        <v>275</v>
      </c>
      <c r="B276" s="1" t="s">
        <v>668</v>
      </c>
      <c r="C276" s="1" t="s">
        <v>669</v>
      </c>
      <c r="D276" s="1" t="s">
        <v>670</v>
      </c>
      <c r="E276" s="1" t="n">
        <v>28593.09</v>
      </c>
      <c r="F276" s="1" t="s">
        <v>31</v>
      </c>
      <c r="G276" s="1" t="s">
        <v>84</v>
      </c>
      <c r="H276" s="1" t="s">
        <v>41</v>
      </c>
      <c r="I276" s="1" t="s">
        <v>10</v>
      </c>
      <c r="J276" s="1" t="s">
        <v>34</v>
      </c>
    </row>
    <row r="277" customFormat="false" ht="15" hidden="false" customHeight="true" outlineLevel="0" collapsed="false">
      <c r="A277" s="1" t="n">
        <v>276</v>
      </c>
      <c r="B277" s="1" t="s">
        <v>668</v>
      </c>
      <c r="C277" s="1" t="s">
        <v>669</v>
      </c>
      <c r="D277" s="1" t="s">
        <v>670</v>
      </c>
      <c r="E277" s="1" t="n">
        <v>28593.09</v>
      </c>
      <c r="F277" s="1" t="s">
        <v>31</v>
      </c>
      <c r="G277" s="1" t="s">
        <v>84</v>
      </c>
      <c r="H277" s="1" t="s">
        <v>41</v>
      </c>
      <c r="I277" s="1" t="s">
        <v>12</v>
      </c>
      <c r="J277" s="1" t="s">
        <v>35</v>
      </c>
    </row>
    <row r="278" customFormat="false" ht="15" hidden="false" customHeight="true" outlineLevel="0" collapsed="false">
      <c r="A278" s="1" t="n">
        <v>277</v>
      </c>
      <c r="B278" s="1" t="s">
        <v>671</v>
      </c>
      <c r="C278" s="1" t="s">
        <v>672</v>
      </c>
      <c r="D278" s="1" t="s">
        <v>425</v>
      </c>
      <c r="E278" s="1" t="n">
        <v>23726.22</v>
      </c>
      <c r="F278" s="1" t="s">
        <v>31</v>
      </c>
      <c r="G278" s="1" t="s">
        <v>128</v>
      </c>
      <c r="H278" s="1" t="s">
        <v>65</v>
      </c>
      <c r="I278" s="1" t="s">
        <v>12</v>
      </c>
      <c r="J278" s="1" t="s">
        <v>35</v>
      </c>
    </row>
    <row r="279" customFormat="false" ht="15" hidden="false" customHeight="true" outlineLevel="0" collapsed="false">
      <c r="A279" s="1" t="n">
        <v>278</v>
      </c>
      <c r="B279" s="1" t="s">
        <v>673</v>
      </c>
      <c r="C279" s="1" t="s">
        <v>674</v>
      </c>
      <c r="D279" s="1" t="s">
        <v>537</v>
      </c>
      <c r="E279" s="1" t="n">
        <v>9366.78</v>
      </c>
      <c r="F279" s="1" t="s">
        <v>31</v>
      </c>
      <c r="G279" s="1" t="s">
        <v>95</v>
      </c>
      <c r="H279" s="1" t="s">
        <v>65</v>
      </c>
      <c r="I279" s="1" t="s">
        <v>12</v>
      </c>
      <c r="J279" s="1" t="s">
        <v>35</v>
      </c>
    </row>
    <row r="280" customFormat="false" ht="15" hidden="false" customHeight="true" outlineLevel="0" collapsed="false">
      <c r="A280" s="1" t="n">
        <v>279</v>
      </c>
      <c r="B280" s="1" t="s">
        <v>675</v>
      </c>
      <c r="C280" s="1" t="s">
        <v>676</v>
      </c>
      <c r="D280" s="1" t="s">
        <v>677</v>
      </c>
      <c r="E280" s="1" t="n">
        <v>24219.62</v>
      </c>
      <c r="F280" s="1" t="s">
        <v>39</v>
      </c>
      <c r="G280" s="1" t="s">
        <v>80</v>
      </c>
      <c r="H280" s="1" t="s">
        <v>61</v>
      </c>
      <c r="I280" s="1" t="s">
        <v>11</v>
      </c>
      <c r="J280" s="1" t="s">
        <v>35</v>
      </c>
    </row>
    <row r="281" customFormat="false" ht="15" hidden="false" customHeight="true" outlineLevel="0" collapsed="false">
      <c r="A281" s="1" t="n">
        <v>280</v>
      </c>
      <c r="B281" s="1" t="s">
        <v>678</v>
      </c>
      <c r="C281" s="1" t="s">
        <v>679</v>
      </c>
      <c r="D281" s="1" t="s">
        <v>680</v>
      </c>
      <c r="E281" s="1" t="n">
        <v>15177.44</v>
      </c>
      <c r="F281" s="1" t="s">
        <v>39</v>
      </c>
      <c r="G281" s="1" t="s">
        <v>56</v>
      </c>
      <c r="H281" s="1" t="s">
        <v>41</v>
      </c>
      <c r="I281" s="1" t="s">
        <v>10</v>
      </c>
      <c r="J281" s="1" t="s">
        <v>34</v>
      </c>
    </row>
    <row r="282" customFormat="false" ht="15" hidden="false" customHeight="true" outlineLevel="0" collapsed="false">
      <c r="A282" s="1" t="n">
        <v>281</v>
      </c>
      <c r="B282" s="1" t="s">
        <v>678</v>
      </c>
      <c r="C282" s="1" t="s">
        <v>679</v>
      </c>
      <c r="D282" s="1" t="s">
        <v>680</v>
      </c>
      <c r="E282" s="1" t="n">
        <v>15177.44</v>
      </c>
      <c r="F282" s="1" t="s">
        <v>39</v>
      </c>
      <c r="G282" s="1" t="s">
        <v>56</v>
      </c>
      <c r="H282" s="1" t="s">
        <v>41</v>
      </c>
      <c r="I282" s="1" t="s">
        <v>11</v>
      </c>
      <c r="J282" s="1" t="s">
        <v>35</v>
      </c>
    </row>
    <row r="283" customFormat="false" ht="15" hidden="false" customHeight="true" outlineLevel="0" collapsed="false">
      <c r="A283" s="1" t="n">
        <v>282</v>
      </c>
      <c r="B283" s="1" t="s">
        <v>681</v>
      </c>
      <c r="C283" s="1" t="s">
        <v>682</v>
      </c>
      <c r="D283" s="1" t="s">
        <v>341</v>
      </c>
      <c r="E283" s="1" t="n">
        <v>24920.68</v>
      </c>
      <c r="F283" s="1" t="s">
        <v>39</v>
      </c>
      <c r="G283" s="1" t="s">
        <v>135</v>
      </c>
      <c r="H283" s="1" t="s">
        <v>41</v>
      </c>
      <c r="I283" s="1" t="s">
        <v>11</v>
      </c>
      <c r="J283" s="1" t="s">
        <v>35</v>
      </c>
    </row>
    <row r="284" customFormat="false" ht="15" hidden="false" customHeight="true" outlineLevel="0" collapsed="false">
      <c r="A284" s="1" t="n">
        <v>283</v>
      </c>
      <c r="B284" s="1" t="s">
        <v>683</v>
      </c>
      <c r="C284" s="1" t="s">
        <v>684</v>
      </c>
      <c r="D284" s="1" t="s">
        <v>685</v>
      </c>
      <c r="E284" s="1" t="n">
        <v>17620.98</v>
      </c>
      <c r="F284" s="1" t="s">
        <v>91</v>
      </c>
      <c r="G284" s="1" t="s">
        <v>32</v>
      </c>
      <c r="H284" s="1" t="s">
        <v>51</v>
      </c>
      <c r="I284" s="1" t="s">
        <v>10</v>
      </c>
      <c r="J284" s="1" t="s">
        <v>34</v>
      </c>
    </row>
    <row r="285" customFormat="false" ht="15" hidden="false" customHeight="true" outlineLevel="0" collapsed="false">
      <c r="A285" s="1" t="n">
        <v>284</v>
      </c>
      <c r="B285" s="1" t="s">
        <v>686</v>
      </c>
      <c r="C285" s="1" t="s">
        <v>687</v>
      </c>
      <c r="D285" s="1" t="s">
        <v>210</v>
      </c>
      <c r="E285" s="1" t="n">
        <v>18322.07</v>
      </c>
      <c r="F285" s="1" t="s">
        <v>39</v>
      </c>
      <c r="G285" s="1" t="s">
        <v>56</v>
      </c>
      <c r="H285" s="1" t="s">
        <v>57</v>
      </c>
      <c r="I285" s="1" t="s">
        <v>10</v>
      </c>
      <c r="J285" s="1" t="s">
        <v>34</v>
      </c>
    </row>
    <row r="286" customFormat="false" ht="15" hidden="false" customHeight="true" outlineLevel="0" collapsed="false">
      <c r="A286" s="1" t="n">
        <v>285</v>
      </c>
      <c r="B286" s="1" t="s">
        <v>686</v>
      </c>
      <c r="C286" s="1" t="s">
        <v>687</v>
      </c>
      <c r="D286" s="1" t="s">
        <v>210</v>
      </c>
      <c r="E286" s="1" t="n">
        <v>18322.07</v>
      </c>
      <c r="F286" s="1" t="s">
        <v>39</v>
      </c>
      <c r="G286" s="1" t="s">
        <v>56</v>
      </c>
      <c r="H286" s="1" t="s">
        <v>57</v>
      </c>
      <c r="I286" s="1" t="s">
        <v>11</v>
      </c>
      <c r="J286" s="1" t="s">
        <v>35</v>
      </c>
    </row>
    <row r="287" customFormat="false" ht="15" hidden="false" customHeight="true" outlineLevel="0" collapsed="false">
      <c r="A287" s="1" t="n">
        <v>286</v>
      </c>
      <c r="B287" s="1" t="s">
        <v>688</v>
      </c>
      <c r="C287" s="1" t="s">
        <v>689</v>
      </c>
      <c r="D287" s="1" t="s">
        <v>472</v>
      </c>
      <c r="E287" s="1" t="n">
        <v>48109.68</v>
      </c>
      <c r="F287" s="1" t="s">
        <v>31</v>
      </c>
      <c r="G287" s="1" t="s">
        <v>72</v>
      </c>
      <c r="H287" s="1" t="s">
        <v>41</v>
      </c>
      <c r="I287" s="1" t="s">
        <v>12</v>
      </c>
      <c r="J287" s="1" t="s">
        <v>35</v>
      </c>
    </row>
    <row r="288" customFormat="false" ht="15" hidden="false" customHeight="true" outlineLevel="0" collapsed="false">
      <c r="A288" s="1" t="n">
        <v>287</v>
      </c>
      <c r="B288" s="1" t="s">
        <v>688</v>
      </c>
      <c r="C288" s="1" t="s">
        <v>689</v>
      </c>
      <c r="D288" s="1" t="s">
        <v>472</v>
      </c>
      <c r="E288" s="1" t="n">
        <v>48109.68</v>
      </c>
      <c r="F288" s="1" t="s">
        <v>31</v>
      </c>
      <c r="G288" s="1" t="s">
        <v>72</v>
      </c>
      <c r="H288" s="1" t="s">
        <v>41</v>
      </c>
      <c r="I288" s="1" t="s">
        <v>13</v>
      </c>
      <c r="J288" s="1" t="s">
        <v>34</v>
      </c>
    </row>
    <row r="289" customFormat="false" ht="15" hidden="false" customHeight="true" outlineLevel="0" collapsed="false">
      <c r="A289" s="1" t="n">
        <v>288</v>
      </c>
      <c r="B289" s="1" t="s">
        <v>690</v>
      </c>
      <c r="C289" s="1" t="s">
        <v>691</v>
      </c>
      <c r="D289" s="1" t="s">
        <v>692</v>
      </c>
      <c r="E289" s="1" t="n">
        <v>21780.48</v>
      </c>
      <c r="F289" s="1" t="s">
        <v>31</v>
      </c>
      <c r="G289" s="1" t="s">
        <v>166</v>
      </c>
      <c r="H289" s="1" t="s">
        <v>65</v>
      </c>
      <c r="I289" s="1" t="s">
        <v>12</v>
      </c>
      <c r="J289" s="1" t="s">
        <v>35</v>
      </c>
    </row>
    <row r="290" customFormat="false" ht="15" hidden="false" customHeight="true" outlineLevel="0" collapsed="false">
      <c r="A290" s="1" t="n">
        <v>289</v>
      </c>
      <c r="B290" s="1" t="s">
        <v>693</v>
      </c>
      <c r="C290" s="1" t="s">
        <v>694</v>
      </c>
      <c r="D290" s="1" t="s">
        <v>695</v>
      </c>
      <c r="E290" s="1" t="n">
        <v>7987.03</v>
      </c>
      <c r="F290" s="1" t="s">
        <v>31</v>
      </c>
      <c r="G290" s="1" t="s">
        <v>166</v>
      </c>
      <c r="H290" s="1" t="s">
        <v>61</v>
      </c>
      <c r="I290" s="1" t="s">
        <v>12</v>
      </c>
      <c r="J290" s="1" t="s">
        <v>35</v>
      </c>
    </row>
    <row r="291" customFormat="false" ht="15" hidden="false" customHeight="true" outlineLevel="0" collapsed="false">
      <c r="A291" s="1" t="n">
        <v>290</v>
      </c>
      <c r="B291" s="1" t="s">
        <v>696</v>
      </c>
      <c r="C291" s="1" t="s">
        <v>697</v>
      </c>
      <c r="D291" s="1" t="s">
        <v>500</v>
      </c>
      <c r="E291" s="1" t="n">
        <v>19743.75</v>
      </c>
      <c r="F291" s="1" t="s">
        <v>31</v>
      </c>
      <c r="G291" s="1" t="s">
        <v>135</v>
      </c>
      <c r="H291" s="1" t="s">
        <v>51</v>
      </c>
      <c r="I291" s="1" t="s">
        <v>12</v>
      </c>
      <c r="J291" s="1" t="s">
        <v>35</v>
      </c>
    </row>
    <row r="292" customFormat="false" ht="15" hidden="false" customHeight="true" outlineLevel="0" collapsed="false">
      <c r="A292" s="1" t="n">
        <v>291</v>
      </c>
      <c r="B292" s="1" t="s">
        <v>698</v>
      </c>
      <c r="C292" s="1" t="s">
        <v>699</v>
      </c>
      <c r="D292" s="1" t="s">
        <v>700</v>
      </c>
      <c r="E292" s="1" t="n">
        <v>46976.01</v>
      </c>
      <c r="F292" s="1" t="s">
        <v>79</v>
      </c>
      <c r="G292" s="1" t="s">
        <v>80</v>
      </c>
      <c r="H292" s="1" t="s">
        <v>33</v>
      </c>
      <c r="I292" s="1" t="s">
        <v>13</v>
      </c>
      <c r="J292" s="1" t="s">
        <v>34</v>
      </c>
    </row>
    <row r="293" customFormat="false" ht="15" hidden="false" customHeight="true" outlineLevel="0" collapsed="false">
      <c r="A293" s="1" t="n">
        <v>292</v>
      </c>
      <c r="B293" s="1" t="s">
        <v>701</v>
      </c>
      <c r="C293" s="1" t="s">
        <v>702</v>
      </c>
      <c r="D293" s="1" t="s">
        <v>559</v>
      </c>
      <c r="E293" s="1" t="n">
        <v>26918.65</v>
      </c>
      <c r="F293" s="1" t="s">
        <v>39</v>
      </c>
      <c r="G293" s="1" t="s">
        <v>40</v>
      </c>
      <c r="H293" s="1" t="s">
        <v>41</v>
      </c>
      <c r="I293" s="1" t="s">
        <v>11</v>
      </c>
      <c r="J293" s="1" t="s">
        <v>35</v>
      </c>
    </row>
    <row r="294" customFormat="false" ht="15" hidden="false" customHeight="true" outlineLevel="0" collapsed="false">
      <c r="A294" s="1" t="n">
        <v>293</v>
      </c>
      <c r="B294" s="1" t="s">
        <v>703</v>
      </c>
      <c r="C294" s="1" t="s">
        <v>704</v>
      </c>
      <c r="D294" s="1" t="s">
        <v>705</v>
      </c>
      <c r="E294" s="1" t="n">
        <v>30929.4</v>
      </c>
      <c r="F294" s="1" t="s">
        <v>31</v>
      </c>
      <c r="G294" s="1" t="s">
        <v>135</v>
      </c>
      <c r="H294" s="1" t="s">
        <v>51</v>
      </c>
      <c r="I294" s="1" t="s">
        <v>12</v>
      </c>
      <c r="J294" s="1" t="s">
        <v>35</v>
      </c>
    </row>
    <row r="295" customFormat="false" ht="15" hidden="false" customHeight="true" outlineLevel="0" collapsed="false">
      <c r="A295" s="1" t="n">
        <v>294</v>
      </c>
      <c r="B295" s="1" t="s">
        <v>706</v>
      </c>
      <c r="C295" s="1" t="s">
        <v>707</v>
      </c>
      <c r="D295" s="1" t="s">
        <v>708</v>
      </c>
      <c r="E295" s="1" t="n">
        <v>17740.52</v>
      </c>
      <c r="F295" s="1" t="s">
        <v>31</v>
      </c>
      <c r="G295" s="1" t="s">
        <v>72</v>
      </c>
      <c r="H295" s="1" t="s">
        <v>65</v>
      </c>
      <c r="I295" s="1" t="s">
        <v>12</v>
      </c>
      <c r="J295" s="1" t="s">
        <v>35</v>
      </c>
    </row>
    <row r="296" customFormat="false" ht="15" hidden="false" customHeight="true" outlineLevel="0" collapsed="false">
      <c r="A296" s="1" t="n">
        <v>295</v>
      </c>
      <c r="B296" s="1" t="s">
        <v>709</v>
      </c>
      <c r="C296" s="1" t="s">
        <v>710</v>
      </c>
      <c r="D296" s="1" t="s">
        <v>430</v>
      </c>
      <c r="E296" s="1" t="n">
        <v>45246.91</v>
      </c>
      <c r="F296" s="1" t="s">
        <v>91</v>
      </c>
      <c r="G296" s="1" t="s">
        <v>482</v>
      </c>
      <c r="H296" s="1" t="s">
        <v>33</v>
      </c>
      <c r="I296" s="1" t="s">
        <v>13</v>
      </c>
      <c r="J296" s="1" t="s">
        <v>34</v>
      </c>
    </row>
    <row r="297" customFormat="false" ht="15" hidden="false" customHeight="true" outlineLevel="0" collapsed="false">
      <c r="A297" s="1" t="n">
        <v>296</v>
      </c>
      <c r="B297" s="1" t="s">
        <v>711</v>
      </c>
      <c r="C297" s="1" t="s">
        <v>712</v>
      </c>
      <c r="D297" s="1" t="s">
        <v>713</v>
      </c>
      <c r="E297" s="1" t="n">
        <v>40205.15</v>
      </c>
      <c r="F297" s="1" t="s">
        <v>31</v>
      </c>
      <c r="G297" s="1" t="s">
        <v>135</v>
      </c>
      <c r="H297" s="1" t="s">
        <v>61</v>
      </c>
      <c r="I297" s="1" t="s">
        <v>12</v>
      </c>
      <c r="J297" s="1" t="s">
        <v>35</v>
      </c>
    </row>
    <row r="298" customFormat="false" ht="15" hidden="false" customHeight="true" outlineLevel="0" collapsed="false">
      <c r="A298" s="1" t="n">
        <v>297</v>
      </c>
      <c r="B298" s="1" t="s">
        <v>711</v>
      </c>
      <c r="C298" s="1" t="s">
        <v>712</v>
      </c>
      <c r="D298" s="1" t="s">
        <v>713</v>
      </c>
      <c r="E298" s="1" t="n">
        <v>40205.15</v>
      </c>
      <c r="F298" s="1" t="s">
        <v>31</v>
      </c>
      <c r="G298" s="1" t="s">
        <v>135</v>
      </c>
      <c r="H298" s="1" t="s">
        <v>61</v>
      </c>
      <c r="I298" s="1" t="s">
        <v>13</v>
      </c>
      <c r="J298" s="1" t="s">
        <v>34</v>
      </c>
    </row>
    <row r="299" customFormat="false" ht="15" hidden="false" customHeight="true" outlineLevel="0" collapsed="false">
      <c r="A299" s="1" t="n">
        <v>298</v>
      </c>
      <c r="B299" s="1" t="s">
        <v>714</v>
      </c>
      <c r="C299" s="1" t="s">
        <v>715</v>
      </c>
      <c r="D299" s="1" t="s">
        <v>87</v>
      </c>
      <c r="E299" s="1" t="n">
        <v>33937</v>
      </c>
      <c r="F299" s="1" t="s">
        <v>39</v>
      </c>
      <c r="G299" s="1" t="s">
        <v>80</v>
      </c>
      <c r="H299" s="1" t="s">
        <v>57</v>
      </c>
      <c r="I299" s="1" t="s">
        <v>11</v>
      </c>
      <c r="J299" s="1" t="s">
        <v>35</v>
      </c>
    </row>
    <row r="300" customFormat="false" ht="15" hidden="false" customHeight="true" outlineLevel="0" collapsed="false">
      <c r="A300" s="1" t="n">
        <v>299</v>
      </c>
      <c r="B300" s="1" t="s">
        <v>716</v>
      </c>
      <c r="C300" s="1" t="s">
        <v>717</v>
      </c>
      <c r="D300" s="1" t="s">
        <v>718</v>
      </c>
      <c r="E300" s="1" t="n">
        <v>44998.94</v>
      </c>
      <c r="F300" s="1" t="s">
        <v>39</v>
      </c>
      <c r="G300" s="1" t="s">
        <v>135</v>
      </c>
      <c r="H300" s="1" t="s">
        <v>33</v>
      </c>
      <c r="I300" s="1" t="s">
        <v>11</v>
      </c>
      <c r="J300" s="1" t="s">
        <v>35</v>
      </c>
    </row>
    <row r="301" customFormat="false" ht="15" hidden="false" customHeight="true" outlineLevel="0" collapsed="false">
      <c r="A301" s="1" t="n">
        <v>300</v>
      </c>
      <c r="B301" s="1" t="s">
        <v>716</v>
      </c>
      <c r="C301" s="1" t="s">
        <v>717</v>
      </c>
      <c r="D301" s="1" t="s">
        <v>718</v>
      </c>
      <c r="E301" s="1" t="n">
        <v>44998.94</v>
      </c>
      <c r="F301" s="1" t="s">
        <v>39</v>
      </c>
      <c r="G301" s="1" t="s">
        <v>135</v>
      </c>
      <c r="H301" s="1" t="s">
        <v>33</v>
      </c>
      <c r="I301" s="1" t="s">
        <v>13</v>
      </c>
      <c r="J301" s="1" t="s">
        <v>34</v>
      </c>
    </row>
    <row r="302" customFormat="false" ht="15" hidden="false" customHeight="true" outlineLevel="0" collapsed="false">
      <c r="A302" s="1" t="n">
        <v>301</v>
      </c>
      <c r="B302" s="1" t="s">
        <v>719</v>
      </c>
      <c r="C302" s="1" t="s">
        <v>720</v>
      </c>
      <c r="D302" s="1" t="s">
        <v>721</v>
      </c>
      <c r="E302" s="1" t="n">
        <v>47655.47</v>
      </c>
      <c r="F302" s="1" t="s">
        <v>39</v>
      </c>
      <c r="G302" s="1" t="s">
        <v>56</v>
      </c>
      <c r="H302" s="1" t="s">
        <v>41</v>
      </c>
      <c r="I302" s="1" t="s">
        <v>10</v>
      </c>
      <c r="J302" s="1" t="s">
        <v>34</v>
      </c>
    </row>
    <row r="303" customFormat="false" ht="15" hidden="false" customHeight="true" outlineLevel="0" collapsed="false">
      <c r="A303" s="1" t="n">
        <v>302</v>
      </c>
      <c r="B303" s="1" t="s">
        <v>719</v>
      </c>
      <c r="C303" s="1" t="s">
        <v>720</v>
      </c>
      <c r="D303" s="1" t="s">
        <v>721</v>
      </c>
      <c r="E303" s="1" t="n">
        <v>47655.47</v>
      </c>
      <c r="F303" s="1" t="s">
        <v>39</v>
      </c>
      <c r="G303" s="1" t="s">
        <v>56</v>
      </c>
      <c r="H303" s="1" t="s">
        <v>41</v>
      </c>
      <c r="I303" s="1" t="s">
        <v>11</v>
      </c>
      <c r="J303" s="1" t="s">
        <v>35</v>
      </c>
    </row>
    <row r="304" customFormat="false" ht="15" hidden="false" customHeight="true" outlineLevel="0" collapsed="false">
      <c r="A304" s="1" t="n">
        <v>303</v>
      </c>
      <c r="B304" s="1" t="s">
        <v>719</v>
      </c>
      <c r="C304" s="1" t="s">
        <v>720</v>
      </c>
      <c r="D304" s="1" t="s">
        <v>721</v>
      </c>
      <c r="E304" s="1" t="n">
        <v>47655.47</v>
      </c>
      <c r="F304" s="1" t="s">
        <v>39</v>
      </c>
      <c r="G304" s="1" t="s">
        <v>56</v>
      </c>
      <c r="H304" s="1" t="s">
        <v>41</v>
      </c>
      <c r="I304" s="1" t="s">
        <v>13</v>
      </c>
      <c r="J304" s="1" t="s">
        <v>34</v>
      </c>
    </row>
    <row r="305" customFormat="false" ht="15" hidden="false" customHeight="true" outlineLevel="0" collapsed="false">
      <c r="A305" s="1" t="n">
        <v>304</v>
      </c>
      <c r="B305" s="1" t="s">
        <v>722</v>
      </c>
      <c r="C305" s="1" t="s">
        <v>723</v>
      </c>
      <c r="D305" s="1" t="s">
        <v>515</v>
      </c>
      <c r="E305" s="1" t="n">
        <v>32523.01</v>
      </c>
      <c r="F305" s="1" t="s">
        <v>31</v>
      </c>
      <c r="G305" s="1" t="s">
        <v>135</v>
      </c>
      <c r="H305" s="1" t="s">
        <v>65</v>
      </c>
      <c r="I305" s="1" t="s">
        <v>12</v>
      </c>
      <c r="J305" s="1" t="s">
        <v>35</v>
      </c>
    </row>
    <row r="306" customFormat="false" ht="15" hidden="false" customHeight="true" outlineLevel="0" collapsed="false">
      <c r="A306" s="1" t="n">
        <v>305</v>
      </c>
      <c r="B306" s="1" t="s">
        <v>724</v>
      </c>
      <c r="C306" s="1" t="s">
        <v>725</v>
      </c>
      <c r="D306" s="1" t="s">
        <v>120</v>
      </c>
      <c r="E306" s="1" t="n">
        <v>44884.25</v>
      </c>
      <c r="F306" s="1" t="s">
        <v>39</v>
      </c>
      <c r="G306" s="1" t="s">
        <v>32</v>
      </c>
      <c r="H306" s="1" t="s">
        <v>33</v>
      </c>
      <c r="I306" s="1" t="s">
        <v>10</v>
      </c>
      <c r="J306" s="1" t="s">
        <v>34</v>
      </c>
    </row>
    <row r="307" customFormat="false" ht="15" hidden="false" customHeight="true" outlineLevel="0" collapsed="false">
      <c r="A307" s="1" t="n">
        <v>306</v>
      </c>
      <c r="B307" s="1" t="s">
        <v>724</v>
      </c>
      <c r="C307" s="1" t="s">
        <v>725</v>
      </c>
      <c r="D307" s="1" t="s">
        <v>120</v>
      </c>
      <c r="E307" s="1" t="n">
        <v>44884.25</v>
      </c>
      <c r="F307" s="1" t="s">
        <v>39</v>
      </c>
      <c r="G307" s="1" t="s">
        <v>32</v>
      </c>
      <c r="H307" s="1" t="s">
        <v>33</v>
      </c>
      <c r="I307" s="1" t="s">
        <v>11</v>
      </c>
      <c r="J307" s="1" t="s">
        <v>35</v>
      </c>
    </row>
    <row r="308" customFormat="false" ht="15" hidden="false" customHeight="true" outlineLevel="0" collapsed="false">
      <c r="A308" s="1" t="n">
        <v>307</v>
      </c>
      <c r="B308" s="1" t="s">
        <v>724</v>
      </c>
      <c r="C308" s="1" t="s">
        <v>725</v>
      </c>
      <c r="D308" s="1" t="s">
        <v>120</v>
      </c>
      <c r="E308" s="1" t="n">
        <v>44884.25</v>
      </c>
      <c r="F308" s="1" t="s">
        <v>39</v>
      </c>
      <c r="G308" s="1" t="s">
        <v>32</v>
      </c>
      <c r="H308" s="1" t="s">
        <v>33</v>
      </c>
      <c r="I308" s="1" t="s">
        <v>13</v>
      </c>
      <c r="J308" s="1" t="s">
        <v>34</v>
      </c>
    </row>
    <row r="309" customFormat="false" ht="15" hidden="false" customHeight="true" outlineLevel="0" collapsed="false">
      <c r="A309" s="1" t="n">
        <v>308</v>
      </c>
      <c r="B309" s="1" t="s">
        <v>726</v>
      </c>
      <c r="C309" s="1" t="s">
        <v>727</v>
      </c>
      <c r="D309" s="1" t="s">
        <v>642</v>
      </c>
      <c r="E309" s="1" t="n">
        <v>41869.17</v>
      </c>
      <c r="F309" s="1" t="s">
        <v>91</v>
      </c>
      <c r="G309" s="1" t="s">
        <v>482</v>
      </c>
      <c r="H309" s="1" t="s">
        <v>57</v>
      </c>
      <c r="I309" s="1" t="s">
        <v>13</v>
      </c>
      <c r="J309" s="1" t="s">
        <v>34</v>
      </c>
    </row>
    <row r="310" customFormat="false" ht="15" hidden="false" customHeight="true" outlineLevel="0" collapsed="false">
      <c r="A310" s="1" t="n">
        <v>309</v>
      </c>
      <c r="B310" s="1" t="s">
        <v>728</v>
      </c>
      <c r="C310" s="1" t="s">
        <v>729</v>
      </c>
      <c r="D310" s="1" t="s">
        <v>730</v>
      </c>
      <c r="E310" s="1" t="n">
        <v>24901.97</v>
      </c>
      <c r="F310" s="1" t="s">
        <v>31</v>
      </c>
      <c r="G310" s="1" t="s">
        <v>198</v>
      </c>
      <c r="H310" s="1" t="s">
        <v>51</v>
      </c>
      <c r="I310" s="1" t="s">
        <v>12</v>
      </c>
      <c r="J310" s="1" t="s">
        <v>35</v>
      </c>
    </row>
    <row r="311" customFormat="false" ht="15" hidden="false" customHeight="true" outlineLevel="0" collapsed="false">
      <c r="A311" s="1" t="n">
        <v>310</v>
      </c>
      <c r="B311" s="1" t="s">
        <v>731</v>
      </c>
      <c r="C311" s="1" t="s">
        <v>732</v>
      </c>
      <c r="D311" s="1" t="s">
        <v>332</v>
      </c>
      <c r="E311" s="1" t="n">
        <v>32540.9</v>
      </c>
      <c r="F311" s="1" t="s">
        <v>55</v>
      </c>
      <c r="G311" s="1" t="s">
        <v>32</v>
      </c>
      <c r="H311" s="1" t="s">
        <v>41</v>
      </c>
      <c r="I311" s="1" t="s">
        <v>10</v>
      </c>
      <c r="J311" s="1" t="s">
        <v>34</v>
      </c>
    </row>
    <row r="312" customFormat="false" ht="15" hidden="false" customHeight="true" outlineLevel="0" collapsed="false">
      <c r="A312" s="1" t="n">
        <v>311</v>
      </c>
      <c r="B312" s="1" t="s">
        <v>733</v>
      </c>
      <c r="C312" s="1" t="s">
        <v>734</v>
      </c>
      <c r="D312" s="1" t="s">
        <v>54</v>
      </c>
      <c r="E312" s="1" t="n">
        <v>24471.4</v>
      </c>
      <c r="F312" s="1" t="s">
        <v>49</v>
      </c>
      <c r="G312" s="1" t="s">
        <v>84</v>
      </c>
      <c r="H312" s="1" t="s">
        <v>51</v>
      </c>
      <c r="I312" s="1" t="s">
        <v>10</v>
      </c>
      <c r="J312" s="1" t="s">
        <v>34</v>
      </c>
    </row>
    <row r="313" customFormat="false" ht="15" hidden="false" customHeight="true" outlineLevel="0" collapsed="false">
      <c r="A313" s="1" t="n">
        <v>312</v>
      </c>
      <c r="B313" s="1" t="s">
        <v>735</v>
      </c>
      <c r="C313" s="1" t="s">
        <v>736</v>
      </c>
      <c r="D313" s="1" t="s">
        <v>692</v>
      </c>
      <c r="E313" s="1" t="n">
        <v>27078.22</v>
      </c>
      <c r="F313" s="1" t="s">
        <v>39</v>
      </c>
      <c r="G313" s="1" t="s">
        <v>45</v>
      </c>
      <c r="H313" s="1" t="s">
        <v>51</v>
      </c>
      <c r="I313" s="1" t="s">
        <v>11</v>
      </c>
      <c r="J313" s="1" t="s">
        <v>35</v>
      </c>
    </row>
    <row r="314" customFormat="false" ht="15" hidden="false" customHeight="true" outlineLevel="0" collapsed="false">
      <c r="A314" s="1" t="n">
        <v>313</v>
      </c>
      <c r="B314" s="1" t="s">
        <v>737</v>
      </c>
      <c r="C314" s="1" t="s">
        <v>738</v>
      </c>
      <c r="D314" s="1" t="s">
        <v>739</v>
      </c>
      <c r="E314" s="1" t="n">
        <v>1998.96</v>
      </c>
      <c r="F314" s="1" t="s">
        <v>79</v>
      </c>
      <c r="G314" s="1" t="s">
        <v>56</v>
      </c>
      <c r="H314" s="1" t="s">
        <v>33</v>
      </c>
      <c r="I314" s="1" t="s">
        <v>10</v>
      </c>
      <c r="J314" s="1" t="s">
        <v>34</v>
      </c>
    </row>
    <row r="315" customFormat="false" ht="15" hidden="false" customHeight="true" outlineLevel="0" collapsed="false">
      <c r="A315" s="1" t="n">
        <v>314</v>
      </c>
      <c r="B315" s="1" t="s">
        <v>740</v>
      </c>
      <c r="C315" s="1" t="s">
        <v>741</v>
      </c>
      <c r="D315" s="1" t="s">
        <v>204</v>
      </c>
      <c r="E315" s="1" t="n">
        <v>11889.54</v>
      </c>
      <c r="F315" s="1" t="s">
        <v>39</v>
      </c>
      <c r="G315" s="1" t="s">
        <v>211</v>
      </c>
      <c r="H315" s="1" t="s">
        <v>57</v>
      </c>
      <c r="I315" s="1" t="s">
        <v>11</v>
      </c>
      <c r="J315" s="1" t="s">
        <v>35</v>
      </c>
    </row>
    <row r="316" customFormat="false" ht="15" hidden="false" customHeight="true" outlineLevel="0" collapsed="false">
      <c r="A316" s="1" t="n">
        <v>315</v>
      </c>
      <c r="B316" s="1" t="s">
        <v>742</v>
      </c>
      <c r="C316" s="1" t="s">
        <v>743</v>
      </c>
      <c r="D316" s="1" t="s">
        <v>620</v>
      </c>
      <c r="E316" s="1" t="n">
        <v>29930.24</v>
      </c>
      <c r="F316" s="1" t="s">
        <v>31</v>
      </c>
      <c r="G316" s="1" t="s">
        <v>191</v>
      </c>
      <c r="H316" s="1" t="s">
        <v>57</v>
      </c>
      <c r="I316" s="1" t="s">
        <v>12</v>
      </c>
      <c r="J316" s="1" t="s">
        <v>35</v>
      </c>
    </row>
    <row r="317" customFormat="false" ht="15" hidden="false" customHeight="true" outlineLevel="0" collapsed="false">
      <c r="A317" s="1" t="n">
        <v>316</v>
      </c>
      <c r="B317" s="1" t="s">
        <v>744</v>
      </c>
      <c r="C317" s="1" t="s">
        <v>745</v>
      </c>
      <c r="D317" s="1" t="s">
        <v>746</v>
      </c>
      <c r="E317" s="1" t="n">
        <v>42992.63</v>
      </c>
      <c r="F317" s="1" t="s">
        <v>39</v>
      </c>
      <c r="G317" s="1" t="s">
        <v>128</v>
      </c>
      <c r="H317" s="1" t="s">
        <v>33</v>
      </c>
      <c r="I317" s="1" t="s">
        <v>11</v>
      </c>
      <c r="J317" s="1" t="s">
        <v>35</v>
      </c>
    </row>
    <row r="318" customFormat="false" ht="15" hidden="false" customHeight="true" outlineLevel="0" collapsed="false">
      <c r="A318" s="1" t="n">
        <v>317</v>
      </c>
      <c r="B318" s="1" t="s">
        <v>744</v>
      </c>
      <c r="C318" s="1" t="s">
        <v>745</v>
      </c>
      <c r="D318" s="1" t="s">
        <v>746</v>
      </c>
      <c r="E318" s="1" t="n">
        <v>42992.63</v>
      </c>
      <c r="F318" s="1" t="s">
        <v>39</v>
      </c>
      <c r="G318" s="1" t="s">
        <v>128</v>
      </c>
      <c r="H318" s="1" t="s">
        <v>33</v>
      </c>
      <c r="I318" s="1" t="s">
        <v>13</v>
      </c>
      <c r="J318" s="1" t="s">
        <v>34</v>
      </c>
    </row>
    <row r="319" customFormat="false" ht="15" hidden="false" customHeight="true" outlineLevel="0" collapsed="false">
      <c r="A319" s="1" t="n">
        <v>318</v>
      </c>
      <c r="B319" s="1" t="s">
        <v>747</v>
      </c>
      <c r="C319" s="1" t="s">
        <v>748</v>
      </c>
      <c r="D319" s="1" t="s">
        <v>670</v>
      </c>
      <c r="E319" s="1" t="n">
        <v>41413.19</v>
      </c>
      <c r="F319" s="1" t="s">
        <v>39</v>
      </c>
      <c r="G319" s="1" t="s">
        <v>191</v>
      </c>
      <c r="H319" s="1" t="s">
        <v>65</v>
      </c>
      <c r="I319" s="1" t="s">
        <v>11</v>
      </c>
      <c r="J319" s="1" t="s">
        <v>35</v>
      </c>
    </row>
    <row r="320" customFormat="false" ht="15" hidden="false" customHeight="true" outlineLevel="0" collapsed="false">
      <c r="A320" s="1" t="n">
        <v>319</v>
      </c>
      <c r="B320" s="1" t="s">
        <v>747</v>
      </c>
      <c r="C320" s="1" t="s">
        <v>748</v>
      </c>
      <c r="D320" s="1" t="s">
        <v>670</v>
      </c>
      <c r="E320" s="1" t="n">
        <v>41413.19</v>
      </c>
      <c r="F320" s="1" t="s">
        <v>39</v>
      </c>
      <c r="G320" s="1" t="s">
        <v>191</v>
      </c>
      <c r="H320" s="1" t="s">
        <v>65</v>
      </c>
      <c r="I320" s="1" t="s">
        <v>13</v>
      </c>
      <c r="J320" s="1" t="s">
        <v>34</v>
      </c>
    </row>
    <row r="321" customFormat="false" ht="15" hidden="false" customHeight="true" outlineLevel="0" collapsed="false">
      <c r="A321" s="1" t="n">
        <v>320</v>
      </c>
      <c r="B321" s="1" t="s">
        <v>749</v>
      </c>
      <c r="C321" s="1" t="s">
        <v>750</v>
      </c>
      <c r="D321" s="1" t="s">
        <v>254</v>
      </c>
      <c r="E321" s="1" t="n">
        <v>47880.48</v>
      </c>
      <c r="F321" s="1" t="s">
        <v>49</v>
      </c>
      <c r="G321" s="1" t="s">
        <v>135</v>
      </c>
      <c r="H321" s="1" t="s">
        <v>57</v>
      </c>
      <c r="I321" s="1" t="s">
        <v>13</v>
      </c>
      <c r="J321" s="1" t="s">
        <v>34</v>
      </c>
    </row>
    <row r="322" customFormat="false" ht="15" hidden="false" customHeight="true" outlineLevel="0" collapsed="false">
      <c r="A322" s="1" t="n">
        <v>321</v>
      </c>
      <c r="B322" s="1" t="s">
        <v>751</v>
      </c>
      <c r="C322" s="1" t="s">
        <v>752</v>
      </c>
      <c r="D322" s="1" t="s">
        <v>233</v>
      </c>
      <c r="E322" s="1" t="n">
        <v>31735.09</v>
      </c>
      <c r="F322" s="1" t="s">
        <v>91</v>
      </c>
      <c r="G322" s="1" t="s">
        <v>32</v>
      </c>
      <c r="H322" s="1" t="s">
        <v>57</v>
      </c>
      <c r="I322" s="1" t="s">
        <v>10</v>
      </c>
      <c r="J322" s="1" t="s">
        <v>34</v>
      </c>
    </row>
    <row r="323" customFormat="false" ht="15" hidden="false" customHeight="true" outlineLevel="0" collapsed="false">
      <c r="A323" s="1" t="n">
        <v>322</v>
      </c>
      <c r="B323" s="1" t="s">
        <v>753</v>
      </c>
      <c r="C323" s="1" t="s">
        <v>754</v>
      </c>
      <c r="D323" s="1" t="s">
        <v>755</v>
      </c>
      <c r="E323" s="1" t="n">
        <v>42279.61</v>
      </c>
      <c r="F323" s="1" t="s">
        <v>39</v>
      </c>
      <c r="G323" s="1" t="s">
        <v>80</v>
      </c>
      <c r="H323" s="1" t="s">
        <v>51</v>
      </c>
      <c r="I323" s="1" t="s">
        <v>11</v>
      </c>
      <c r="J323" s="1" t="s">
        <v>35</v>
      </c>
    </row>
    <row r="324" customFormat="false" ht="15" hidden="false" customHeight="true" outlineLevel="0" collapsed="false">
      <c r="A324" s="1" t="n">
        <v>323</v>
      </c>
      <c r="B324" s="1" t="s">
        <v>753</v>
      </c>
      <c r="C324" s="1" t="s">
        <v>754</v>
      </c>
      <c r="D324" s="1" t="s">
        <v>755</v>
      </c>
      <c r="E324" s="1" t="n">
        <v>42279.61</v>
      </c>
      <c r="F324" s="1" t="s">
        <v>39</v>
      </c>
      <c r="G324" s="1" t="s">
        <v>80</v>
      </c>
      <c r="H324" s="1" t="s">
        <v>51</v>
      </c>
      <c r="I324" s="1" t="s">
        <v>13</v>
      </c>
      <c r="J324" s="1" t="s">
        <v>34</v>
      </c>
    </row>
    <row r="325" customFormat="false" ht="15" hidden="false" customHeight="true" outlineLevel="0" collapsed="false">
      <c r="A325" s="1" t="n">
        <v>324</v>
      </c>
      <c r="B325" s="1" t="s">
        <v>756</v>
      </c>
      <c r="C325" s="1" t="s">
        <v>757</v>
      </c>
      <c r="D325" s="1" t="s">
        <v>537</v>
      </c>
      <c r="E325" s="1" t="n">
        <v>41024.64</v>
      </c>
      <c r="F325" s="1" t="s">
        <v>31</v>
      </c>
      <c r="G325" s="1" t="s">
        <v>80</v>
      </c>
      <c r="H325" s="1" t="s">
        <v>51</v>
      </c>
      <c r="I325" s="1" t="s">
        <v>12</v>
      </c>
      <c r="J325" s="1" t="s">
        <v>35</v>
      </c>
    </row>
    <row r="326" customFormat="false" ht="15" hidden="false" customHeight="true" outlineLevel="0" collapsed="false">
      <c r="A326" s="1" t="n">
        <v>325</v>
      </c>
      <c r="B326" s="1" t="s">
        <v>756</v>
      </c>
      <c r="C326" s="1" t="s">
        <v>757</v>
      </c>
      <c r="D326" s="1" t="s">
        <v>537</v>
      </c>
      <c r="E326" s="1" t="n">
        <v>41024.64</v>
      </c>
      <c r="F326" s="1" t="s">
        <v>31</v>
      </c>
      <c r="G326" s="1" t="s">
        <v>80</v>
      </c>
      <c r="H326" s="1" t="s">
        <v>51</v>
      </c>
      <c r="I326" s="1" t="s">
        <v>13</v>
      </c>
      <c r="J326" s="1" t="s">
        <v>34</v>
      </c>
    </row>
    <row r="327" customFormat="false" ht="15" hidden="false" customHeight="true" outlineLevel="0" collapsed="false">
      <c r="A327" s="1" t="n">
        <v>326</v>
      </c>
      <c r="B327" s="1" t="s">
        <v>758</v>
      </c>
      <c r="C327" s="1" t="s">
        <v>759</v>
      </c>
      <c r="D327" s="1" t="s">
        <v>739</v>
      </c>
      <c r="E327" s="1" t="n">
        <v>36263.88</v>
      </c>
      <c r="F327" s="1" t="s">
        <v>31</v>
      </c>
      <c r="G327" s="1" t="s">
        <v>45</v>
      </c>
      <c r="H327" s="1" t="s">
        <v>41</v>
      </c>
      <c r="I327" s="1" t="s">
        <v>12</v>
      </c>
      <c r="J327" s="1" t="s">
        <v>35</v>
      </c>
    </row>
    <row r="328" customFormat="false" ht="15" hidden="false" customHeight="true" outlineLevel="0" collapsed="false">
      <c r="A328" s="1" t="n">
        <v>327</v>
      </c>
      <c r="B328" s="1" t="s">
        <v>760</v>
      </c>
      <c r="C328" s="1" t="s">
        <v>761</v>
      </c>
      <c r="D328" s="1" t="s">
        <v>110</v>
      </c>
      <c r="E328" s="1" t="n">
        <v>47736.03</v>
      </c>
      <c r="F328" s="1" t="s">
        <v>55</v>
      </c>
      <c r="G328" s="1" t="s">
        <v>191</v>
      </c>
      <c r="H328" s="1" t="s">
        <v>41</v>
      </c>
      <c r="I328" s="1" t="s">
        <v>13</v>
      </c>
      <c r="J328" s="1" t="s">
        <v>34</v>
      </c>
    </row>
    <row r="329" customFormat="false" ht="15" hidden="false" customHeight="true" outlineLevel="0" collapsed="false">
      <c r="A329" s="1" t="n">
        <v>328</v>
      </c>
      <c r="B329" s="1" t="s">
        <v>762</v>
      </c>
      <c r="C329" s="1" t="s">
        <v>763</v>
      </c>
      <c r="D329" s="1" t="s">
        <v>764</v>
      </c>
      <c r="E329" s="1" t="n">
        <v>10508.26</v>
      </c>
      <c r="F329" s="1" t="s">
        <v>39</v>
      </c>
      <c r="G329" s="1" t="s">
        <v>95</v>
      </c>
      <c r="H329" s="1" t="s">
        <v>65</v>
      </c>
      <c r="I329" s="1" t="s">
        <v>11</v>
      </c>
      <c r="J329" s="1" t="s">
        <v>35</v>
      </c>
    </row>
    <row r="330" customFormat="false" ht="15" hidden="false" customHeight="true" outlineLevel="0" collapsed="false">
      <c r="A330" s="1" t="n">
        <v>329</v>
      </c>
      <c r="B330" s="1" t="s">
        <v>765</v>
      </c>
      <c r="C330" s="1" t="s">
        <v>766</v>
      </c>
      <c r="D330" s="1" t="s">
        <v>767</v>
      </c>
      <c r="E330" s="1" t="n">
        <v>41834.9</v>
      </c>
      <c r="F330" s="1" t="s">
        <v>39</v>
      </c>
      <c r="G330" s="1" t="s">
        <v>50</v>
      </c>
      <c r="H330" s="1" t="s">
        <v>61</v>
      </c>
      <c r="I330" s="1" t="s">
        <v>10</v>
      </c>
      <c r="J330" s="1" t="s">
        <v>34</v>
      </c>
    </row>
    <row r="331" customFormat="false" ht="15" hidden="false" customHeight="true" outlineLevel="0" collapsed="false">
      <c r="A331" s="1" t="n">
        <v>330</v>
      </c>
      <c r="B331" s="1" t="s">
        <v>765</v>
      </c>
      <c r="C331" s="1" t="s">
        <v>766</v>
      </c>
      <c r="D331" s="1" t="s">
        <v>767</v>
      </c>
      <c r="E331" s="1" t="n">
        <v>41834.9</v>
      </c>
      <c r="F331" s="1" t="s">
        <v>39</v>
      </c>
      <c r="G331" s="1" t="s">
        <v>50</v>
      </c>
      <c r="H331" s="1" t="s">
        <v>61</v>
      </c>
      <c r="I331" s="1" t="s">
        <v>11</v>
      </c>
      <c r="J331" s="1" t="s">
        <v>35</v>
      </c>
    </row>
    <row r="332" customFormat="false" ht="15" hidden="false" customHeight="true" outlineLevel="0" collapsed="false">
      <c r="A332" s="1" t="n">
        <v>331</v>
      </c>
      <c r="B332" s="1" t="s">
        <v>765</v>
      </c>
      <c r="C332" s="1" t="s">
        <v>766</v>
      </c>
      <c r="D332" s="1" t="s">
        <v>767</v>
      </c>
      <c r="E332" s="1" t="n">
        <v>41834.9</v>
      </c>
      <c r="F332" s="1" t="s">
        <v>39</v>
      </c>
      <c r="G332" s="1" t="s">
        <v>50</v>
      </c>
      <c r="H332" s="1" t="s">
        <v>61</v>
      </c>
      <c r="I332" s="1" t="s">
        <v>13</v>
      </c>
      <c r="J332" s="1" t="s">
        <v>34</v>
      </c>
    </row>
    <row r="333" customFormat="false" ht="15" hidden="false" customHeight="true" outlineLevel="0" collapsed="false">
      <c r="A333" s="1" t="n">
        <v>332</v>
      </c>
      <c r="B333" s="1" t="s">
        <v>768</v>
      </c>
      <c r="C333" s="1" t="s">
        <v>769</v>
      </c>
      <c r="D333" s="1" t="s">
        <v>181</v>
      </c>
      <c r="E333" s="1" t="n">
        <v>43807.51</v>
      </c>
      <c r="F333" s="1" t="s">
        <v>79</v>
      </c>
      <c r="G333" s="1" t="s">
        <v>50</v>
      </c>
      <c r="H333" s="1" t="s">
        <v>33</v>
      </c>
      <c r="I333" s="1" t="s">
        <v>10</v>
      </c>
      <c r="J333" s="1" t="s">
        <v>34</v>
      </c>
    </row>
    <row r="334" customFormat="false" ht="15" hidden="false" customHeight="true" outlineLevel="0" collapsed="false">
      <c r="A334" s="1" t="n">
        <v>333</v>
      </c>
      <c r="B334" s="1" t="s">
        <v>768</v>
      </c>
      <c r="C334" s="1" t="s">
        <v>769</v>
      </c>
      <c r="D334" s="1" t="s">
        <v>181</v>
      </c>
      <c r="E334" s="1" t="n">
        <v>43807.51</v>
      </c>
      <c r="F334" s="1" t="s">
        <v>79</v>
      </c>
      <c r="G334" s="1" t="s">
        <v>50</v>
      </c>
      <c r="H334" s="1" t="s">
        <v>33</v>
      </c>
      <c r="I334" s="1" t="s">
        <v>13</v>
      </c>
      <c r="J334" s="1" t="s">
        <v>34</v>
      </c>
    </row>
    <row r="335" customFormat="false" ht="15" hidden="false" customHeight="true" outlineLevel="0" collapsed="false">
      <c r="A335" s="1" t="n">
        <v>334</v>
      </c>
      <c r="B335" s="1" t="s">
        <v>770</v>
      </c>
      <c r="C335" s="1" t="s">
        <v>771</v>
      </c>
      <c r="D335" s="1" t="s">
        <v>772</v>
      </c>
      <c r="E335" s="1" t="n">
        <v>46736.91</v>
      </c>
      <c r="F335" s="1" t="s">
        <v>39</v>
      </c>
      <c r="G335" s="1" t="s">
        <v>166</v>
      </c>
      <c r="H335" s="1" t="s">
        <v>33</v>
      </c>
      <c r="I335" s="1" t="s">
        <v>11</v>
      </c>
      <c r="J335" s="1" t="s">
        <v>35</v>
      </c>
    </row>
    <row r="336" customFormat="false" ht="15" hidden="false" customHeight="true" outlineLevel="0" collapsed="false">
      <c r="A336" s="1" t="n">
        <v>335</v>
      </c>
      <c r="B336" s="1" t="s">
        <v>770</v>
      </c>
      <c r="C336" s="1" t="s">
        <v>771</v>
      </c>
      <c r="D336" s="1" t="s">
        <v>772</v>
      </c>
      <c r="E336" s="1" t="n">
        <v>46736.91</v>
      </c>
      <c r="F336" s="1" t="s">
        <v>39</v>
      </c>
      <c r="G336" s="1" t="s">
        <v>166</v>
      </c>
      <c r="H336" s="1" t="s">
        <v>33</v>
      </c>
      <c r="I336" s="1" t="s">
        <v>13</v>
      </c>
      <c r="J336" s="1" t="s">
        <v>34</v>
      </c>
    </row>
    <row r="337" customFormat="false" ht="15" hidden="false" customHeight="true" outlineLevel="0" collapsed="false">
      <c r="A337" s="1" t="n">
        <v>336</v>
      </c>
      <c r="B337" s="1" t="s">
        <v>773</v>
      </c>
      <c r="C337" s="1" t="s">
        <v>774</v>
      </c>
      <c r="D337" s="1" t="s">
        <v>775</v>
      </c>
      <c r="E337" s="1" t="n">
        <v>33405.71</v>
      </c>
      <c r="F337" s="1" t="s">
        <v>39</v>
      </c>
      <c r="G337" s="1" t="s">
        <v>80</v>
      </c>
      <c r="H337" s="1" t="s">
        <v>61</v>
      </c>
      <c r="I337" s="1" t="s">
        <v>11</v>
      </c>
      <c r="J337" s="1" t="s">
        <v>35</v>
      </c>
    </row>
    <row r="338" customFormat="false" ht="15" hidden="false" customHeight="true" outlineLevel="0" collapsed="false">
      <c r="A338" s="1" t="n">
        <v>337</v>
      </c>
      <c r="B338" s="1" t="s">
        <v>776</v>
      </c>
      <c r="C338" s="1" t="s">
        <v>777</v>
      </c>
      <c r="D338" s="1" t="s">
        <v>117</v>
      </c>
      <c r="E338" s="1" t="n">
        <v>14650.17</v>
      </c>
      <c r="F338" s="1" t="s">
        <v>39</v>
      </c>
      <c r="G338" s="1" t="s">
        <v>72</v>
      </c>
      <c r="H338" s="1" t="s">
        <v>51</v>
      </c>
      <c r="I338" s="1" t="s">
        <v>11</v>
      </c>
      <c r="J338" s="1" t="s">
        <v>35</v>
      </c>
    </row>
    <row r="339" customFormat="false" ht="15" hidden="false" customHeight="true" outlineLevel="0" collapsed="false">
      <c r="A339" s="1" t="n">
        <v>338</v>
      </c>
      <c r="B339" s="1" t="s">
        <v>778</v>
      </c>
      <c r="C339" s="1" t="s">
        <v>779</v>
      </c>
      <c r="D339" s="1" t="s">
        <v>304</v>
      </c>
      <c r="E339" s="1" t="n">
        <v>16641.95</v>
      </c>
      <c r="F339" s="1" t="s">
        <v>31</v>
      </c>
      <c r="G339" s="1" t="s">
        <v>84</v>
      </c>
      <c r="H339" s="1" t="s">
        <v>61</v>
      </c>
      <c r="I339" s="1" t="s">
        <v>10</v>
      </c>
      <c r="J339" s="1" t="s">
        <v>34</v>
      </c>
    </row>
    <row r="340" customFormat="false" ht="15" hidden="false" customHeight="true" outlineLevel="0" collapsed="false">
      <c r="A340" s="1" t="n">
        <v>339</v>
      </c>
      <c r="B340" s="1" t="s">
        <v>778</v>
      </c>
      <c r="C340" s="1" t="s">
        <v>779</v>
      </c>
      <c r="D340" s="1" t="s">
        <v>304</v>
      </c>
      <c r="E340" s="1" t="n">
        <v>16641.95</v>
      </c>
      <c r="F340" s="1" t="s">
        <v>31</v>
      </c>
      <c r="G340" s="1" t="s">
        <v>84</v>
      </c>
      <c r="H340" s="1" t="s">
        <v>61</v>
      </c>
      <c r="I340" s="1" t="s">
        <v>12</v>
      </c>
      <c r="J340" s="1" t="s">
        <v>35</v>
      </c>
    </row>
    <row r="341" customFormat="false" ht="15" hidden="false" customHeight="true" outlineLevel="0" collapsed="false">
      <c r="A341" s="1" t="n">
        <v>340</v>
      </c>
      <c r="B341" s="1" t="s">
        <v>780</v>
      </c>
      <c r="C341" s="1" t="s">
        <v>781</v>
      </c>
      <c r="D341" s="1" t="s">
        <v>782</v>
      </c>
      <c r="E341" s="1" t="n">
        <v>42555.73</v>
      </c>
      <c r="F341" s="1" t="s">
        <v>31</v>
      </c>
      <c r="G341" s="1" t="s">
        <v>50</v>
      </c>
      <c r="H341" s="1" t="s">
        <v>57</v>
      </c>
      <c r="I341" s="1" t="s">
        <v>10</v>
      </c>
      <c r="J341" s="1" t="s">
        <v>34</v>
      </c>
    </row>
    <row r="342" customFormat="false" ht="15" hidden="false" customHeight="true" outlineLevel="0" collapsed="false">
      <c r="A342" s="1" t="n">
        <v>341</v>
      </c>
      <c r="B342" s="1" t="s">
        <v>780</v>
      </c>
      <c r="C342" s="1" t="s">
        <v>781</v>
      </c>
      <c r="D342" s="1" t="s">
        <v>782</v>
      </c>
      <c r="E342" s="1" t="n">
        <v>42555.73</v>
      </c>
      <c r="F342" s="1" t="s">
        <v>31</v>
      </c>
      <c r="G342" s="1" t="s">
        <v>50</v>
      </c>
      <c r="H342" s="1" t="s">
        <v>57</v>
      </c>
      <c r="I342" s="1" t="s">
        <v>12</v>
      </c>
      <c r="J342" s="1" t="s">
        <v>35</v>
      </c>
    </row>
    <row r="343" customFormat="false" ht="15" hidden="false" customHeight="true" outlineLevel="0" collapsed="false">
      <c r="A343" s="1" t="n">
        <v>342</v>
      </c>
      <c r="B343" s="1" t="s">
        <v>780</v>
      </c>
      <c r="C343" s="1" t="s">
        <v>781</v>
      </c>
      <c r="D343" s="1" t="s">
        <v>782</v>
      </c>
      <c r="E343" s="1" t="n">
        <v>42555.73</v>
      </c>
      <c r="F343" s="1" t="s">
        <v>31</v>
      </c>
      <c r="G343" s="1" t="s">
        <v>50</v>
      </c>
      <c r="H343" s="1" t="s">
        <v>57</v>
      </c>
      <c r="I343" s="1" t="s">
        <v>13</v>
      </c>
      <c r="J343" s="1" t="s">
        <v>34</v>
      </c>
    </row>
    <row r="344" customFormat="false" ht="15" hidden="false" customHeight="true" outlineLevel="0" collapsed="false">
      <c r="A344" s="1" t="n">
        <v>343</v>
      </c>
      <c r="B344" s="1" t="s">
        <v>783</v>
      </c>
      <c r="C344" s="1" t="s">
        <v>784</v>
      </c>
      <c r="D344" s="1" t="s">
        <v>785</v>
      </c>
      <c r="E344" s="1" t="n">
        <v>29529.74</v>
      </c>
      <c r="F344" s="1" t="s">
        <v>39</v>
      </c>
      <c r="G344" s="1" t="s">
        <v>72</v>
      </c>
      <c r="H344" s="1" t="s">
        <v>33</v>
      </c>
      <c r="I344" s="1" t="s">
        <v>11</v>
      </c>
      <c r="J344" s="1" t="s">
        <v>35</v>
      </c>
    </row>
    <row r="345" customFormat="false" ht="15" hidden="false" customHeight="true" outlineLevel="0" collapsed="false">
      <c r="A345" s="1" t="n">
        <v>344</v>
      </c>
      <c r="B345" s="1" t="s">
        <v>786</v>
      </c>
      <c r="C345" s="1" t="s">
        <v>787</v>
      </c>
      <c r="D345" s="1" t="s">
        <v>175</v>
      </c>
      <c r="E345" s="1" t="n">
        <v>18769.7</v>
      </c>
      <c r="F345" s="1" t="s">
        <v>39</v>
      </c>
      <c r="G345" s="1" t="s">
        <v>482</v>
      </c>
      <c r="H345" s="1" t="s">
        <v>61</v>
      </c>
      <c r="I345" s="1" t="s">
        <v>11</v>
      </c>
      <c r="J345" s="1" t="s">
        <v>35</v>
      </c>
    </row>
    <row r="346" customFormat="false" ht="15" hidden="false" customHeight="true" outlineLevel="0" collapsed="false">
      <c r="A346" s="1" t="n">
        <v>345</v>
      </c>
      <c r="B346" s="1" t="s">
        <v>788</v>
      </c>
      <c r="C346" s="1" t="s">
        <v>789</v>
      </c>
      <c r="D346" s="1" t="s">
        <v>545</v>
      </c>
      <c r="E346" s="1" t="n">
        <v>18420.42</v>
      </c>
      <c r="F346" s="1" t="s">
        <v>39</v>
      </c>
      <c r="G346" s="1" t="s">
        <v>114</v>
      </c>
      <c r="H346" s="1" t="s">
        <v>61</v>
      </c>
      <c r="I346" s="1" t="s">
        <v>11</v>
      </c>
      <c r="J346" s="1" t="s">
        <v>35</v>
      </c>
    </row>
    <row r="347" customFormat="false" ht="15" hidden="false" customHeight="true" outlineLevel="0" collapsed="false">
      <c r="A347" s="1" t="n">
        <v>346</v>
      </c>
      <c r="B347" s="1" t="s">
        <v>790</v>
      </c>
      <c r="C347" s="1" t="s">
        <v>791</v>
      </c>
      <c r="D347" s="1" t="s">
        <v>228</v>
      </c>
      <c r="E347" s="1" t="n">
        <v>49396.69</v>
      </c>
      <c r="F347" s="1" t="s">
        <v>79</v>
      </c>
      <c r="G347" s="1" t="s">
        <v>482</v>
      </c>
      <c r="H347" s="1" t="s">
        <v>33</v>
      </c>
      <c r="I347" s="1" t="s">
        <v>13</v>
      </c>
      <c r="J347" s="1" t="s">
        <v>34</v>
      </c>
    </row>
    <row r="348" customFormat="false" ht="15" hidden="false" customHeight="true" outlineLevel="0" collapsed="false">
      <c r="A348" s="1" t="n">
        <v>347</v>
      </c>
      <c r="B348" s="1" t="s">
        <v>792</v>
      </c>
      <c r="C348" s="1" t="s">
        <v>793</v>
      </c>
      <c r="D348" s="1" t="s">
        <v>794</v>
      </c>
      <c r="E348" s="1" t="n">
        <v>15489.15</v>
      </c>
      <c r="F348" s="1" t="s">
        <v>31</v>
      </c>
      <c r="G348" s="1" t="s">
        <v>157</v>
      </c>
      <c r="H348" s="1" t="s">
        <v>41</v>
      </c>
      <c r="I348" s="1" t="s">
        <v>12</v>
      </c>
      <c r="J348" s="1" t="s">
        <v>35</v>
      </c>
    </row>
    <row r="349" customFormat="false" ht="15" hidden="false" customHeight="true" outlineLevel="0" collapsed="false">
      <c r="A349" s="1" t="n">
        <v>348</v>
      </c>
      <c r="B349" s="1" t="s">
        <v>795</v>
      </c>
      <c r="C349" s="1" t="s">
        <v>796</v>
      </c>
      <c r="D349" s="1" t="s">
        <v>797</v>
      </c>
      <c r="E349" s="1" t="n">
        <v>42074.82</v>
      </c>
      <c r="F349" s="1" t="s">
        <v>55</v>
      </c>
      <c r="G349" s="1" t="s">
        <v>198</v>
      </c>
      <c r="H349" s="1" t="s">
        <v>51</v>
      </c>
      <c r="I349" s="1" t="s">
        <v>13</v>
      </c>
      <c r="J349" s="1" t="s">
        <v>34</v>
      </c>
    </row>
    <row r="350" customFormat="false" ht="15" hidden="false" customHeight="true" outlineLevel="0" collapsed="false">
      <c r="A350" s="1" t="n">
        <v>349</v>
      </c>
      <c r="B350" s="1" t="s">
        <v>798</v>
      </c>
      <c r="C350" s="1" t="s">
        <v>799</v>
      </c>
      <c r="D350" s="1" t="s">
        <v>419</v>
      </c>
      <c r="E350" s="1" t="n">
        <v>22107.97</v>
      </c>
      <c r="F350" s="1" t="s">
        <v>49</v>
      </c>
      <c r="G350" s="1" t="s">
        <v>32</v>
      </c>
      <c r="H350" s="1" t="s">
        <v>61</v>
      </c>
      <c r="I350" s="1" t="s">
        <v>10</v>
      </c>
      <c r="J350" s="1" t="s">
        <v>34</v>
      </c>
    </row>
    <row r="351" customFormat="false" ht="15" hidden="false" customHeight="true" outlineLevel="0" collapsed="false">
      <c r="A351" s="1" t="n">
        <v>350</v>
      </c>
      <c r="B351" s="1" t="s">
        <v>800</v>
      </c>
      <c r="C351" s="1" t="s">
        <v>801</v>
      </c>
      <c r="D351" s="1" t="s">
        <v>274</v>
      </c>
      <c r="E351" s="1" t="n">
        <v>47484.6</v>
      </c>
      <c r="F351" s="1" t="s">
        <v>79</v>
      </c>
      <c r="G351" s="1" t="s">
        <v>40</v>
      </c>
      <c r="H351" s="1" t="s">
        <v>41</v>
      </c>
      <c r="I351" s="1" t="s">
        <v>13</v>
      </c>
      <c r="J351" s="1" t="s">
        <v>34</v>
      </c>
    </row>
    <row r="352" customFormat="false" ht="15" hidden="false" customHeight="true" outlineLevel="0" collapsed="false">
      <c r="A352" s="1" t="n">
        <v>351</v>
      </c>
      <c r="B352" s="1" t="s">
        <v>802</v>
      </c>
      <c r="C352" s="1" t="s">
        <v>803</v>
      </c>
      <c r="D352" s="1" t="s">
        <v>782</v>
      </c>
      <c r="E352" s="1" t="n">
        <v>40320.02</v>
      </c>
      <c r="F352" s="1" t="s">
        <v>49</v>
      </c>
      <c r="G352" s="1" t="s">
        <v>166</v>
      </c>
      <c r="H352" s="1" t="s">
        <v>51</v>
      </c>
      <c r="I352" s="1" t="s">
        <v>13</v>
      </c>
      <c r="J352" s="1" t="s">
        <v>34</v>
      </c>
    </row>
    <row r="353" customFormat="false" ht="15" hidden="false" customHeight="true" outlineLevel="0" collapsed="false">
      <c r="A353" s="1" t="n">
        <v>352</v>
      </c>
      <c r="B353" s="1" t="s">
        <v>804</v>
      </c>
      <c r="C353" s="1" t="s">
        <v>805</v>
      </c>
      <c r="D353" s="1" t="s">
        <v>491</v>
      </c>
      <c r="E353" s="1" t="n">
        <v>39396.56</v>
      </c>
      <c r="F353" s="1" t="s">
        <v>31</v>
      </c>
      <c r="G353" s="1" t="s">
        <v>95</v>
      </c>
      <c r="H353" s="1" t="s">
        <v>61</v>
      </c>
      <c r="I353" s="1" t="s">
        <v>12</v>
      </c>
      <c r="J353" s="1" t="s">
        <v>35</v>
      </c>
    </row>
    <row r="354" customFormat="false" ht="15" hidden="false" customHeight="true" outlineLevel="0" collapsed="false">
      <c r="A354" s="1" t="n">
        <v>353</v>
      </c>
      <c r="B354" s="1" t="s">
        <v>806</v>
      </c>
      <c r="C354" s="1" t="s">
        <v>807</v>
      </c>
      <c r="D354" s="1" t="s">
        <v>808</v>
      </c>
      <c r="E354" s="1" t="n">
        <v>47678.58</v>
      </c>
      <c r="F354" s="1" t="s">
        <v>39</v>
      </c>
      <c r="G354" s="1" t="s">
        <v>40</v>
      </c>
      <c r="H354" s="1" t="s">
        <v>65</v>
      </c>
      <c r="I354" s="1" t="s">
        <v>11</v>
      </c>
      <c r="J354" s="1" t="s">
        <v>35</v>
      </c>
    </row>
    <row r="355" customFormat="false" ht="15" hidden="false" customHeight="true" outlineLevel="0" collapsed="false">
      <c r="A355" s="1" t="n">
        <v>354</v>
      </c>
      <c r="B355" s="1" t="s">
        <v>806</v>
      </c>
      <c r="C355" s="1" t="s">
        <v>807</v>
      </c>
      <c r="D355" s="1" t="s">
        <v>808</v>
      </c>
      <c r="E355" s="1" t="n">
        <v>47678.58</v>
      </c>
      <c r="F355" s="1" t="s">
        <v>39</v>
      </c>
      <c r="G355" s="1" t="s">
        <v>40</v>
      </c>
      <c r="H355" s="1" t="s">
        <v>65</v>
      </c>
      <c r="I355" s="1" t="s">
        <v>13</v>
      </c>
      <c r="J355" s="1" t="s">
        <v>34</v>
      </c>
    </row>
    <row r="356" customFormat="false" ht="15" hidden="false" customHeight="true" outlineLevel="0" collapsed="false">
      <c r="A356" s="1" t="n">
        <v>355</v>
      </c>
      <c r="B356" s="1" t="s">
        <v>809</v>
      </c>
      <c r="C356" s="1" t="s">
        <v>810</v>
      </c>
      <c r="D356" s="1" t="s">
        <v>262</v>
      </c>
      <c r="E356" s="1" t="n">
        <v>45805.39</v>
      </c>
      <c r="F356" s="1" t="s">
        <v>39</v>
      </c>
      <c r="G356" s="1" t="s">
        <v>157</v>
      </c>
      <c r="H356" s="1" t="s">
        <v>51</v>
      </c>
      <c r="I356" s="1" t="s">
        <v>11</v>
      </c>
      <c r="J356" s="1" t="s">
        <v>35</v>
      </c>
    </row>
    <row r="357" customFormat="false" ht="15" hidden="false" customHeight="true" outlineLevel="0" collapsed="false">
      <c r="A357" s="1" t="n">
        <v>356</v>
      </c>
      <c r="B357" s="1" t="s">
        <v>809</v>
      </c>
      <c r="C357" s="1" t="s">
        <v>810</v>
      </c>
      <c r="D357" s="1" t="s">
        <v>262</v>
      </c>
      <c r="E357" s="1" t="n">
        <v>45805.39</v>
      </c>
      <c r="F357" s="1" t="s">
        <v>39</v>
      </c>
      <c r="G357" s="1" t="s">
        <v>157</v>
      </c>
      <c r="H357" s="1" t="s">
        <v>51</v>
      </c>
      <c r="I357" s="1" t="s">
        <v>13</v>
      </c>
      <c r="J357" s="1" t="s">
        <v>34</v>
      </c>
    </row>
    <row r="358" customFormat="false" ht="15" hidden="false" customHeight="true" outlineLevel="0" collapsed="false">
      <c r="A358" s="1" t="n">
        <v>357</v>
      </c>
      <c r="B358" s="1" t="s">
        <v>811</v>
      </c>
      <c r="C358" s="1" t="s">
        <v>812</v>
      </c>
      <c r="D358" s="1" t="s">
        <v>813</v>
      </c>
      <c r="E358" s="1" t="n">
        <v>38151.72</v>
      </c>
      <c r="F358" s="1" t="s">
        <v>31</v>
      </c>
      <c r="G358" s="1" t="s">
        <v>32</v>
      </c>
      <c r="H358" s="1" t="s">
        <v>33</v>
      </c>
      <c r="I358" s="1" t="s">
        <v>10</v>
      </c>
      <c r="J358" s="1" t="s">
        <v>34</v>
      </c>
    </row>
    <row r="359" customFormat="false" ht="15" hidden="false" customHeight="true" outlineLevel="0" collapsed="false">
      <c r="A359" s="1" t="n">
        <v>358</v>
      </c>
      <c r="B359" s="1" t="s">
        <v>811</v>
      </c>
      <c r="C359" s="1" t="s">
        <v>812</v>
      </c>
      <c r="D359" s="1" t="s">
        <v>813</v>
      </c>
      <c r="E359" s="1" t="n">
        <v>38151.72</v>
      </c>
      <c r="F359" s="1" t="s">
        <v>31</v>
      </c>
      <c r="G359" s="1" t="s">
        <v>32</v>
      </c>
      <c r="H359" s="1" t="s">
        <v>33</v>
      </c>
      <c r="I359" s="1" t="s">
        <v>12</v>
      </c>
      <c r="J359" s="1" t="s">
        <v>35</v>
      </c>
    </row>
    <row r="360" customFormat="false" ht="15" hidden="false" customHeight="true" outlineLevel="0" collapsed="false">
      <c r="A360" s="1" t="n">
        <v>359</v>
      </c>
      <c r="B360" s="1" t="s">
        <v>814</v>
      </c>
      <c r="C360" s="1" t="s">
        <v>815</v>
      </c>
      <c r="D360" s="1" t="s">
        <v>298</v>
      </c>
      <c r="E360" s="1" t="n">
        <v>1782.08</v>
      </c>
      <c r="F360" s="1" t="s">
        <v>49</v>
      </c>
      <c r="G360" s="1" t="s">
        <v>84</v>
      </c>
      <c r="H360" s="1" t="s">
        <v>65</v>
      </c>
      <c r="I360" s="1" t="s">
        <v>10</v>
      </c>
      <c r="J360" s="1" t="s">
        <v>34</v>
      </c>
    </row>
    <row r="361" customFormat="false" ht="15" hidden="false" customHeight="true" outlineLevel="0" collapsed="false">
      <c r="A361" s="1" t="n">
        <v>360</v>
      </c>
      <c r="B361" s="1" t="s">
        <v>816</v>
      </c>
      <c r="C361" s="1" t="s">
        <v>817</v>
      </c>
      <c r="D361" s="1" t="s">
        <v>312</v>
      </c>
      <c r="E361" s="1" t="n">
        <v>37955.29</v>
      </c>
      <c r="F361" s="1" t="s">
        <v>91</v>
      </c>
      <c r="G361" s="1" t="s">
        <v>32</v>
      </c>
      <c r="H361" s="1" t="s">
        <v>65</v>
      </c>
      <c r="I361" s="1" t="s">
        <v>10</v>
      </c>
      <c r="J361" s="1" t="s">
        <v>34</v>
      </c>
    </row>
    <row r="362" customFormat="false" ht="15" hidden="false" customHeight="true" outlineLevel="0" collapsed="false">
      <c r="A362" s="1" t="n">
        <v>361</v>
      </c>
      <c r="B362" s="1" t="s">
        <v>818</v>
      </c>
      <c r="C362" s="1" t="s">
        <v>819</v>
      </c>
      <c r="D362" s="1" t="s">
        <v>820</v>
      </c>
      <c r="E362" s="1" t="n">
        <v>45015.94</v>
      </c>
      <c r="F362" s="1" t="s">
        <v>31</v>
      </c>
      <c r="G362" s="1" t="s">
        <v>114</v>
      </c>
      <c r="H362" s="1" t="s">
        <v>61</v>
      </c>
      <c r="I362" s="1" t="s">
        <v>12</v>
      </c>
      <c r="J362" s="1" t="s">
        <v>35</v>
      </c>
    </row>
    <row r="363" customFormat="false" ht="15" hidden="false" customHeight="true" outlineLevel="0" collapsed="false">
      <c r="A363" s="1" t="n">
        <v>362</v>
      </c>
      <c r="B363" s="1" t="s">
        <v>818</v>
      </c>
      <c r="C363" s="1" t="s">
        <v>819</v>
      </c>
      <c r="D363" s="1" t="s">
        <v>820</v>
      </c>
      <c r="E363" s="1" t="n">
        <v>45015.94</v>
      </c>
      <c r="F363" s="1" t="s">
        <v>31</v>
      </c>
      <c r="G363" s="1" t="s">
        <v>114</v>
      </c>
      <c r="H363" s="1" t="s">
        <v>61</v>
      </c>
      <c r="I363" s="1" t="s">
        <v>13</v>
      </c>
      <c r="J363" s="1" t="s">
        <v>34</v>
      </c>
    </row>
    <row r="364" customFormat="false" ht="15" hidden="false" customHeight="true" outlineLevel="0" collapsed="false">
      <c r="A364" s="1" t="n">
        <v>363</v>
      </c>
      <c r="B364" s="1" t="s">
        <v>821</v>
      </c>
      <c r="C364" s="1" t="s">
        <v>822</v>
      </c>
      <c r="D364" s="1" t="s">
        <v>452</v>
      </c>
      <c r="E364" s="1" t="n">
        <v>29667.24</v>
      </c>
      <c r="F364" s="1" t="s">
        <v>31</v>
      </c>
      <c r="G364" s="1" t="s">
        <v>32</v>
      </c>
      <c r="H364" s="1" t="s">
        <v>51</v>
      </c>
      <c r="I364" s="1" t="s">
        <v>10</v>
      </c>
      <c r="J364" s="1" t="s">
        <v>34</v>
      </c>
    </row>
    <row r="365" customFormat="false" ht="15" hidden="false" customHeight="true" outlineLevel="0" collapsed="false">
      <c r="A365" s="1" t="n">
        <v>364</v>
      </c>
      <c r="B365" s="1" t="s">
        <v>821</v>
      </c>
      <c r="C365" s="1" t="s">
        <v>822</v>
      </c>
      <c r="D365" s="1" t="s">
        <v>452</v>
      </c>
      <c r="E365" s="1" t="n">
        <v>29667.24</v>
      </c>
      <c r="F365" s="1" t="s">
        <v>31</v>
      </c>
      <c r="G365" s="1" t="s">
        <v>32</v>
      </c>
      <c r="H365" s="1" t="s">
        <v>51</v>
      </c>
      <c r="I365" s="1" t="s">
        <v>12</v>
      </c>
      <c r="J365" s="1" t="s">
        <v>35</v>
      </c>
    </row>
    <row r="366" customFormat="false" ht="15" hidden="false" customHeight="true" outlineLevel="0" collapsed="false">
      <c r="A366" s="1" t="n">
        <v>365</v>
      </c>
      <c r="B366" s="1" t="s">
        <v>823</v>
      </c>
      <c r="C366" s="1" t="s">
        <v>824</v>
      </c>
      <c r="D366" s="1" t="s">
        <v>318</v>
      </c>
      <c r="E366" s="1" t="n">
        <v>45124.21</v>
      </c>
      <c r="F366" s="1" t="s">
        <v>39</v>
      </c>
      <c r="G366" s="1" t="s">
        <v>211</v>
      </c>
      <c r="H366" s="1" t="s">
        <v>41</v>
      </c>
      <c r="I366" s="1" t="s">
        <v>11</v>
      </c>
      <c r="J366" s="1" t="s">
        <v>35</v>
      </c>
    </row>
    <row r="367" customFormat="false" ht="15" hidden="false" customHeight="true" outlineLevel="0" collapsed="false">
      <c r="A367" s="1" t="n">
        <v>366</v>
      </c>
      <c r="B367" s="1" t="s">
        <v>823</v>
      </c>
      <c r="C367" s="1" t="s">
        <v>824</v>
      </c>
      <c r="D367" s="1" t="s">
        <v>318</v>
      </c>
      <c r="E367" s="1" t="n">
        <v>45124.21</v>
      </c>
      <c r="F367" s="1" t="s">
        <v>39</v>
      </c>
      <c r="G367" s="1" t="s">
        <v>211</v>
      </c>
      <c r="H367" s="1" t="s">
        <v>41</v>
      </c>
      <c r="I367" s="1" t="s">
        <v>13</v>
      </c>
      <c r="J367" s="1" t="s">
        <v>34</v>
      </c>
    </row>
    <row r="368" customFormat="false" ht="15" hidden="false" customHeight="true" outlineLevel="0" collapsed="false">
      <c r="A368" s="1" t="n">
        <v>367</v>
      </c>
      <c r="B368" s="1" t="s">
        <v>825</v>
      </c>
      <c r="C368" s="1" t="s">
        <v>826</v>
      </c>
      <c r="D368" s="1" t="s">
        <v>292</v>
      </c>
      <c r="E368" s="1" t="n">
        <v>18138.82</v>
      </c>
      <c r="F368" s="1" t="s">
        <v>79</v>
      </c>
      <c r="G368" s="1" t="s">
        <v>56</v>
      </c>
      <c r="H368" s="1" t="s">
        <v>57</v>
      </c>
      <c r="I368" s="1" t="s">
        <v>10</v>
      </c>
      <c r="J368" s="1" t="s">
        <v>34</v>
      </c>
    </row>
    <row r="369" customFormat="false" ht="15" hidden="false" customHeight="true" outlineLevel="0" collapsed="false">
      <c r="A369" s="1" t="n">
        <v>368</v>
      </c>
      <c r="B369" s="1" t="s">
        <v>827</v>
      </c>
      <c r="C369" s="1" t="s">
        <v>828</v>
      </c>
      <c r="D369" s="1" t="s">
        <v>446</v>
      </c>
      <c r="E369" s="1" t="n">
        <v>41398.26</v>
      </c>
      <c r="F369" s="1" t="s">
        <v>39</v>
      </c>
      <c r="G369" s="1" t="s">
        <v>198</v>
      </c>
      <c r="H369" s="1" t="s">
        <v>51</v>
      </c>
      <c r="I369" s="1" t="s">
        <v>11</v>
      </c>
      <c r="J369" s="1" t="s">
        <v>35</v>
      </c>
    </row>
    <row r="370" customFormat="false" ht="15" hidden="false" customHeight="true" outlineLevel="0" collapsed="false">
      <c r="A370" s="1" t="n">
        <v>369</v>
      </c>
      <c r="B370" s="1" t="s">
        <v>827</v>
      </c>
      <c r="C370" s="1" t="s">
        <v>828</v>
      </c>
      <c r="D370" s="1" t="s">
        <v>446</v>
      </c>
      <c r="E370" s="1" t="n">
        <v>41398.26</v>
      </c>
      <c r="F370" s="1" t="s">
        <v>39</v>
      </c>
      <c r="G370" s="1" t="s">
        <v>198</v>
      </c>
      <c r="H370" s="1" t="s">
        <v>51</v>
      </c>
      <c r="I370" s="1" t="s">
        <v>13</v>
      </c>
      <c r="J370" s="1" t="s">
        <v>34</v>
      </c>
    </row>
    <row r="371" customFormat="false" ht="15" hidden="false" customHeight="true" outlineLevel="0" collapsed="false">
      <c r="A371" s="1" t="n">
        <v>370</v>
      </c>
      <c r="B371" s="1" t="s">
        <v>829</v>
      </c>
      <c r="C371" s="1" t="s">
        <v>830</v>
      </c>
      <c r="D371" s="1" t="s">
        <v>553</v>
      </c>
      <c r="E371" s="1" t="n">
        <v>6794.47</v>
      </c>
      <c r="F371" s="1" t="s">
        <v>91</v>
      </c>
      <c r="G371" s="1" t="s">
        <v>84</v>
      </c>
      <c r="H371" s="1" t="s">
        <v>65</v>
      </c>
      <c r="I371" s="1" t="s">
        <v>10</v>
      </c>
      <c r="J371" s="1" t="s">
        <v>34</v>
      </c>
    </row>
    <row r="372" customFormat="false" ht="15" hidden="false" customHeight="true" outlineLevel="0" collapsed="false">
      <c r="A372" s="1" t="n">
        <v>371</v>
      </c>
      <c r="B372" s="1" t="s">
        <v>831</v>
      </c>
      <c r="C372" s="1" t="s">
        <v>832</v>
      </c>
      <c r="D372" s="1" t="s">
        <v>833</v>
      </c>
      <c r="E372" s="1" t="n">
        <v>44675.33</v>
      </c>
      <c r="F372" s="1" t="s">
        <v>31</v>
      </c>
      <c r="G372" s="1" t="s">
        <v>32</v>
      </c>
      <c r="H372" s="1" t="s">
        <v>57</v>
      </c>
      <c r="I372" s="1" t="s">
        <v>10</v>
      </c>
      <c r="J372" s="1" t="s">
        <v>34</v>
      </c>
    </row>
    <row r="373" customFormat="false" ht="15" hidden="false" customHeight="true" outlineLevel="0" collapsed="false">
      <c r="A373" s="1" t="n">
        <v>372</v>
      </c>
      <c r="B373" s="1" t="s">
        <v>831</v>
      </c>
      <c r="C373" s="1" t="s">
        <v>832</v>
      </c>
      <c r="D373" s="1" t="s">
        <v>833</v>
      </c>
      <c r="E373" s="1" t="n">
        <v>44675.33</v>
      </c>
      <c r="F373" s="1" t="s">
        <v>31</v>
      </c>
      <c r="G373" s="1" t="s">
        <v>32</v>
      </c>
      <c r="H373" s="1" t="s">
        <v>57</v>
      </c>
      <c r="I373" s="1" t="s">
        <v>12</v>
      </c>
      <c r="J373" s="1" t="s">
        <v>35</v>
      </c>
    </row>
    <row r="374" customFormat="false" ht="15" hidden="false" customHeight="true" outlineLevel="0" collapsed="false">
      <c r="A374" s="1" t="n">
        <v>373</v>
      </c>
      <c r="B374" s="1" t="s">
        <v>831</v>
      </c>
      <c r="C374" s="1" t="s">
        <v>832</v>
      </c>
      <c r="D374" s="1" t="s">
        <v>833</v>
      </c>
      <c r="E374" s="1" t="n">
        <v>44675.33</v>
      </c>
      <c r="F374" s="1" t="s">
        <v>31</v>
      </c>
      <c r="G374" s="1" t="s">
        <v>32</v>
      </c>
      <c r="H374" s="1" t="s">
        <v>57</v>
      </c>
      <c r="I374" s="1" t="s">
        <v>13</v>
      </c>
      <c r="J374" s="1" t="s">
        <v>34</v>
      </c>
    </row>
    <row r="375" customFormat="false" ht="15" hidden="false" customHeight="true" outlineLevel="0" collapsed="false">
      <c r="A375" s="1" t="n">
        <v>374</v>
      </c>
      <c r="B375" s="1" t="s">
        <v>834</v>
      </c>
      <c r="C375" s="1" t="s">
        <v>835</v>
      </c>
      <c r="D375" s="1" t="s">
        <v>836</v>
      </c>
      <c r="E375" s="1" t="n">
        <v>46753.27</v>
      </c>
      <c r="F375" s="1" t="s">
        <v>31</v>
      </c>
      <c r="G375" s="1" t="s">
        <v>124</v>
      </c>
      <c r="H375" s="1" t="s">
        <v>41</v>
      </c>
      <c r="I375" s="1" t="s">
        <v>12</v>
      </c>
      <c r="J375" s="1" t="s">
        <v>35</v>
      </c>
    </row>
    <row r="376" customFormat="false" ht="15" hidden="false" customHeight="true" outlineLevel="0" collapsed="false">
      <c r="A376" s="1" t="n">
        <v>375</v>
      </c>
      <c r="B376" s="1" t="s">
        <v>834</v>
      </c>
      <c r="C376" s="1" t="s">
        <v>835</v>
      </c>
      <c r="D376" s="1" t="s">
        <v>836</v>
      </c>
      <c r="E376" s="1" t="n">
        <v>46753.27</v>
      </c>
      <c r="F376" s="1" t="s">
        <v>31</v>
      </c>
      <c r="G376" s="1" t="s">
        <v>124</v>
      </c>
      <c r="H376" s="1" t="s">
        <v>41</v>
      </c>
      <c r="I376" s="1" t="s">
        <v>13</v>
      </c>
      <c r="J376" s="1" t="s">
        <v>34</v>
      </c>
    </row>
    <row r="377" customFormat="false" ht="15" hidden="false" customHeight="true" outlineLevel="0" collapsed="false">
      <c r="A377" s="1" t="n">
        <v>376</v>
      </c>
      <c r="B377" s="1" t="s">
        <v>837</v>
      </c>
      <c r="C377" s="1" t="s">
        <v>838</v>
      </c>
      <c r="D377" s="1" t="s">
        <v>839</v>
      </c>
      <c r="E377" s="1" t="n">
        <v>21629.89</v>
      </c>
      <c r="F377" s="1" t="s">
        <v>91</v>
      </c>
      <c r="G377" s="1" t="s">
        <v>32</v>
      </c>
      <c r="H377" s="1" t="s">
        <v>51</v>
      </c>
      <c r="I377" s="1" t="s">
        <v>10</v>
      </c>
      <c r="J377" s="1" t="s">
        <v>34</v>
      </c>
    </row>
    <row r="378" customFormat="false" ht="15" hidden="false" customHeight="true" outlineLevel="0" collapsed="false">
      <c r="A378" s="1" t="n">
        <v>377</v>
      </c>
      <c r="B378" s="1" t="s">
        <v>840</v>
      </c>
      <c r="C378" s="1" t="s">
        <v>841</v>
      </c>
      <c r="D378" s="1" t="s">
        <v>236</v>
      </c>
      <c r="E378" s="1" t="n">
        <v>29253.88</v>
      </c>
      <c r="F378" s="1" t="s">
        <v>31</v>
      </c>
      <c r="G378" s="1" t="s">
        <v>32</v>
      </c>
      <c r="H378" s="1" t="s">
        <v>33</v>
      </c>
      <c r="I378" s="1" t="s">
        <v>10</v>
      </c>
      <c r="J378" s="1" t="s">
        <v>34</v>
      </c>
    </row>
    <row r="379" customFormat="false" ht="15" hidden="false" customHeight="true" outlineLevel="0" collapsed="false">
      <c r="A379" s="1" t="n">
        <v>378</v>
      </c>
      <c r="B379" s="1" t="s">
        <v>840</v>
      </c>
      <c r="C379" s="1" t="s">
        <v>841</v>
      </c>
      <c r="D379" s="1" t="s">
        <v>236</v>
      </c>
      <c r="E379" s="1" t="n">
        <v>29253.88</v>
      </c>
      <c r="F379" s="1" t="s">
        <v>31</v>
      </c>
      <c r="G379" s="1" t="s">
        <v>32</v>
      </c>
      <c r="H379" s="1" t="s">
        <v>33</v>
      </c>
      <c r="I379" s="1" t="s">
        <v>12</v>
      </c>
      <c r="J379" s="1" t="s">
        <v>35</v>
      </c>
    </row>
    <row r="380" customFormat="false" ht="15" hidden="false" customHeight="true" outlineLevel="0" collapsed="false">
      <c r="A380" s="1" t="n">
        <v>379</v>
      </c>
      <c r="B380" s="1" t="s">
        <v>842</v>
      </c>
      <c r="C380" s="1" t="s">
        <v>843</v>
      </c>
      <c r="D380" s="1" t="s">
        <v>54</v>
      </c>
      <c r="E380" s="1" t="n">
        <v>33027.51</v>
      </c>
      <c r="F380" s="1" t="s">
        <v>39</v>
      </c>
      <c r="G380" s="1" t="s">
        <v>191</v>
      </c>
      <c r="H380" s="1" t="s">
        <v>61</v>
      </c>
      <c r="I380" s="1" t="s">
        <v>11</v>
      </c>
      <c r="J380" s="1" t="s">
        <v>35</v>
      </c>
    </row>
    <row r="381" customFormat="false" ht="15" hidden="false" customHeight="true" outlineLevel="0" collapsed="false">
      <c r="A381" s="1" t="n">
        <v>380</v>
      </c>
      <c r="B381" s="1" t="s">
        <v>844</v>
      </c>
      <c r="C381" s="1" t="s">
        <v>845</v>
      </c>
      <c r="D381" s="1" t="s">
        <v>472</v>
      </c>
      <c r="E381" s="1" t="n">
        <v>48360.04</v>
      </c>
      <c r="F381" s="1" t="s">
        <v>39</v>
      </c>
      <c r="G381" s="1" t="s">
        <v>211</v>
      </c>
      <c r="H381" s="1" t="s">
        <v>65</v>
      </c>
      <c r="I381" s="1" t="s">
        <v>11</v>
      </c>
      <c r="J381" s="1" t="s">
        <v>35</v>
      </c>
    </row>
    <row r="382" customFormat="false" ht="15" hidden="false" customHeight="true" outlineLevel="0" collapsed="false">
      <c r="A382" s="1" t="n">
        <v>381</v>
      </c>
      <c r="B382" s="1" t="s">
        <v>844</v>
      </c>
      <c r="C382" s="1" t="s">
        <v>845</v>
      </c>
      <c r="D382" s="1" t="s">
        <v>472</v>
      </c>
      <c r="E382" s="1" t="n">
        <v>48360.04</v>
      </c>
      <c r="F382" s="1" t="s">
        <v>39</v>
      </c>
      <c r="G382" s="1" t="s">
        <v>211</v>
      </c>
      <c r="H382" s="1" t="s">
        <v>65</v>
      </c>
      <c r="I382" s="1" t="s">
        <v>13</v>
      </c>
      <c r="J382" s="1" t="s">
        <v>34</v>
      </c>
    </row>
    <row r="383" customFormat="false" ht="15" hidden="false" customHeight="true" outlineLevel="0" collapsed="false">
      <c r="A383" s="1" t="n">
        <v>382</v>
      </c>
      <c r="B383" s="1" t="s">
        <v>846</v>
      </c>
      <c r="C383" s="1" t="s">
        <v>847</v>
      </c>
      <c r="D383" s="1" t="s">
        <v>848</v>
      </c>
      <c r="E383" s="1" t="n">
        <v>48573.32</v>
      </c>
      <c r="F383" s="1" t="s">
        <v>39</v>
      </c>
      <c r="G383" s="1" t="s">
        <v>482</v>
      </c>
      <c r="H383" s="1" t="s">
        <v>51</v>
      </c>
      <c r="I383" s="1" t="s">
        <v>11</v>
      </c>
      <c r="J383" s="1" t="s">
        <v>35</v>
      </c>
    </row>
    <row r="384" customFormat="false" ht="15" hidden="false" customHeight="true" outlineLevel="0" collapsed="false">
      <c r="A384" s="1" t="n">
        <v>383</v>
      </c>
      <c r="B384" s="1" t="s">
        <v>846</v>
      </c>
      <c r="C384" s="1" t="s">
        <v>847</v>
      </c>
      <c r="D384" s="1" t="s">
        <v>848</v>
      </c>
      <c r="E384" s="1" t="n">
        <v>48573.32</v>
      </c>
      <c r="F384" s="1" t="s">
        <v>39</v>
      </c>
      <c r="G384" s="1" t="s">
        <v>482</v>
      </c>
      <c r="H384" s="1" t="s">
        <v>51</v>
      </c>
      <c r="I384" s="1" t="s">
        <v>13</v>
      </c>
      <c r="J384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6" min="5" style="1" width="1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8"/>
  </cols>
  <sheetData>
    <row r="1" customFormat="false" ht="17.25" hidden="false" customHeight="true" outlineLevel="0" collapsed="false">
      <c r="A1" s="3" t="s">
        <v>849</v>
      </c>
      <c r="B1" s="3"/>
      <c r="C1" s="3"/>
      <c r="E1" s="3" t="s">
        <v>850</v>
      </c>
      <c r="F1" s="3"/>
      <c r="H1" s="3" t="s">
        <v>851</v>
      </c>
      <c r="I1" s="3"/>
      <c r="J1" s="3"/>
      <c r="K1" s="3"/>
    </row>
    <row r="2" customFormat="false" ht="15" hidden="false" customHeight="true" outlineLevel="0" collapsed="false">
      <c r="A2" s="7" t="s">
        <v>24</v>
      </c>
      <c r="B2" s="7" t="s">
        <v>852</v>
      </c>
      <c r="C2" s="7" t="s">
        <v>853</v>
      </c>
      <c r="E2" s="7" t="s">
        <v>854</v>
      </c>
      <c r="F2" s="7" t="s">
        <v>852</v>
      </c>
      <c r="H2" s="7" t="s">
        <v>15</v>
      </c>
      <c r="I2" s="7" t="s">
        <v>2</v>
      </c>
      <c r="J2" s="7" t="s">
        <v>3</v>
      </c>
      <c r="K2" s="7" t="s">
        <v>853</v>
      </c>
    </row>
    <row r="3" customFormat="false" ht="15" hidden="false" customHeight="true" outlineLevel="0" collapsed="false">
      <c r="A3" s="1" t="s">
        <v>32</v>
      </c>
      <c r="B3" s="1" t="n">
        <v>54</v>
      </c>
      <c r="C3" s="1" t="n">
        <v>1726761.59</v>
      </c>
      <c r="E3" s="1" t="s">
        <v>855</v>
      </c>
      <c r="F3" s="1" t="n">
        <v>35</v>
      </c>
    </row>
    <row r="4" customFormat="false" ht="15" hidden="false" customHeight="true" outlineLevel="0" collapsed="false">
      <c r="A4" s="1" t="s">
        <v>56</v>
      </c>
      <c r="B4" s="1" t="n">
        <v>38</v>
      </c>
      <c r="C4" s="1" t="n">
        <v>945704.07</v>
      </c>
      <c r="E4" s="1" t="s">
        <v>856</v>
      </c>
      <c r="F4" s="1" t="n">
        <v>37</v>
      </c>
    </row>
    <row r="5" customFormat="false" ht="15" hidden="false" customHeight="true" outlineLevel="0" collapsed="false">
      <c r="A5" s="1" t="s">
        <v>50</v>
      </c>
      <c r="B5" s="1" t="n">
        <v>35</v>
      </c>
      <c r="C5" s="1" t="n">
        <v>1188734.32</v>
      </c>
      <c r="E5" s="1" t="s">
        <v>857</v>
      </c>
      <c r="F5" s="1" t="n">
        <v>38</v>
      </c>
    </row>
    <row r="6" customFormat="false" ht="15" hidden="false" customHeight="true" outlineLevel="0" collapsed="false">
      <c r="A6" s="1" t="s">
        <v>84</v>
      </c>
      <c r="B6" s="1" t="n">
        <v>35</v>
      </c>
      <c r="C6" s="1" t="n">
        <v>832307.68</v>
      </c>
      <c r="E6" s="1" t="s">
        <v>858</v>
      </c>
      <c r="F6" s="1" t="n">
        <v>31</v>
      </c>
    </row>
    <row r="7" customFormat="false" ht="15" hidden="false" customHeight="true" outlineLevel="0" collapsed="false">
      <c r="A7" s="1" t="s">
        <v>166</v>
      </c>
      <c r="B7" s="1" t="n">
        <v>24</v>
      </c>
      <c r="C7" s="1" t="n">
        <v>922661.28</v>
      </c>
      <c r="E7" s="1" t="s">
        <v>859</v>
      </c>
      <c r="F7" s="1" t="n">
        <v>26</v>
      </c>
    </row>
    <row r="8" customFormat="false" ht="15" hidden="false" customHeight="true" outlineLevel="0" collapsed="false">
      <c r="A8" s="1" t="s">
        <v>80</v>
      </c>
      <c r="B8" s="1" t="n">
        <v>20</v>
      </c>
      <c r="C8" s="1" t="n">
        <v>678675.85</v>
      </c>
      <c r="E8" s="1" t="s">
        <v>860</v>
      </c>
      <c r="F8" s="1" t="n">
        <v>24</v>
      </c>
    </row>
    <row r="9" customFormat="false" ht="15" hidden="false" customHeight="true" outlineLevel="0" collapsed="false">
      <c r="A9" s="1" t="s">
        <v>135</v>
      </c>
      <c r="B9" s="1" t="n">
        <v>17</v>
      </c>
      <c r="C9" s="1" t="n">
        <v>504478.6</v>
      </c>
      <c r="E9" s="1" t="s">
        <v>861</v>
      </c>
      <c r="F9" s="1" t="n">
        <v>23</v>
      </c>
    </row>
    <row r="10" customFormat="false" ht="15" hidden="false" customHeight="true" outlineLevel="0" collapsed="false">
      <c r="A10" s="1" t="s">
        <v>72</v>
      </c>
      <c r="B10" s="1" t="n">
        <v>16</v>
      </c>
      <c r="C10" s="1" t="n">
        <v>521173.35</v>
      </c>
      <c r="E10" s="1" t="s">
        <v>862</v>
      </c>
      <c r="F10" s="1" t="n">
        <v>22</v>
      </c>
    </row>
    <row r="11" customFormat="false" ht="15" hidden="false" customHeight="true" outlineLevel="0" collapsed="false">
      <c r="A11" s="1" t="s">
        <v>114</v>
      </c>
      <c r="B11" s="1" t="n">
        <v>16</v>
      </c>
      <c r="C11" s="1" t="n">
        <v>605619.7</v>
      </c>
      <c r="E11" s="1" t="s">
        <v>863</v>
      </c>
      <c r="F11" s="1" t="n">
        <v>34</v>
      </c>
    </row>
    <row r="12" customFormat="false" ht="15" hidden="false" customHeight="true" outlineLevel="0" collapsed="false">
      <c r="A12" s="1" t="s">
        <v>211</v>
      </c>
      <c r="B12" s="1" t="n">
        <v>16</v>
      </c>
      <c r="C12" s="1" t="n">
        <v>574219.17</v>
      </c>
      <c r="E12" s="1" t="s">
        <v>864</v>
      </c>
      <c r="F12" s="1" t="n">
        <v>19</v>
      </c>
    </row>
    <row r="13" customFormat="false" ht="15" hidden="false" customHeight="true" outlineLevel="0" collapsed="false">
      <c r="A13" s="1" t="s">
        <v>40</v>
      </c>
      <c r="B13" s="1" t="n">
        <v>15</v>
      </c>
      <c r="C13" s="1" t="n">
        <v>484879.3</v>
      </c>
      <c r="E13" s="1" t="s">
        <v>865</v>
      </c>
      <c r="F13" s="1" t="n">
        <v>40</v>
      </c>
    </row>
    <row r="14" customFormat="false" ht="15" hidden="false" customHeight="true" outlineLevel="0" collapsed="false">
      <c r="A14" s="1" t="s">
        <v>45</v>
      </c>
      <c r="B14" s="1" t="n">
        <v>15</v>
      </c>
      <c r="C14" s="1" t="n">
        <v>483052.44</v>
      </c>
      <c r="E14" s="1" t="s">
        <v>866</v>
      </c>
      <c r="F14" s="1" t="n">
        <v>20</v>
      </c>
    </row>
    <row r="15" customFormat="false" ht="15" hidden="false" customHeight="true" outlineLevel="0" collapsed="false">
      <c r="A15" s="1" t="s">
        <v>191</v>
      </c>
      <c r="B15" s="1" t="n">
        <v>13</v>
      </c>
      <c r="C15" s="1" t="n">
        <v>409554.83</v>
      </c>
      <c r="E15" s="1" t="s">
        <v>867</v>
      </c>
      <c r="F15" s="1" t="n">
        <v>29</v>
      </c>
    </row>
    <row r="16" customFormat="false" ht="15" hidden="false" customHeight="true" outlineLevel="0" collapsed="false">
      <c r="A16" s="1" t="s">
        <v>482</v>
      </c>
      <c r="B16" s="1" t="n">
        <v>13</v>
      </c>
      <c r="C16" s="1" t="n">
        <v>550949.31</v>
      </c>
      <c r="E16" s="1" t="s">
        <v>868</v>
      </c>
      <c r="F16" s="1" t="n">
        <v>5</v>
      </c>
    </row>
    <row r="17" customFormat="false" ht="15" hidden="false" customHeight="true" outlineLevel="0" collapsed="false">
      <c r="A17" s="1" t="s">
        <v>124</v>
      </c>
      <c r="B17" s="1" t="n">
        <v>12</v>
      </c>
      <c r="C17" s="1" t="n">
        <v>482838.32</v>
      </c>
    </row>
    <row r="19" customFormat="false" ht="15" hidden="false" customHeight="true" outlineLevel="0" collapsed="false">
      <c r="H19" s="1" t="s">
        <v>29</v>
      </c>
      <c r="I19" s="1" t="n">
        <v>3</v>
      </c>
      <c r="J19" s="1" t="n">
        <v>2</v>
      </c>
      <c r="K19" s="1" t="n">
        <v>142608.9</v>
      </c>
    </row>
    <row r="20" customFormat="false" ht="15" hidden="false" customHeight="true" outlineLevel="0" collapsed="false">
      <c r="H20" s="1" t="s">
        <v>227</v>
      </c>
      <c r="I20" s="1" t="n">
        <v>3</v>
      </c>
      <c r="J20" s="1" t="n">
        <v>2</v>
      </c>
      <c r="K20" s="1" t="n">
        <v>145141.89</v>
      </c>
    </row>
    <row r="21" customFormat="false" ht="15" hidden="false" customHeight="true" outlineLevel="0" collapsed="false">
      <c r="H21" s="1" t="s">
        <v>386</v>
      </c>
      <c r="I21" s="1" t="n">
        <v>3</v>
      </c>
      <c r="J21" s="1" t="n">
        <v>2</v>
      </c>
      <c r="K21" s="1" t="n">
        <v>131652.09</v>
      </c>
    </row>
    <row r="22" customFormat="false" ht="15" hidden="false" customHeight="true" outlineLevel="0" collapsed="false">
      <c r="H22" s="1" t="s">
        <v>493</v>
      </c>
      <c r="I22" s="1" t="n">
        <v>3</v>
      </c>
      <c r="J22" s="1" t="n">
        <v>2</v>
      </c>
      <c r="K22" s="1" t="n">
        <v>135831.48</v>
      </c>
    </row>
    <row r="23" customFormat="false" ht="15" hidden="false" customHeight="true" outlineLevel="0" collapsed="false">
      <c r="H23" s="1" t="s">
        <v>522</v>
      </c>
      <c r="I23" s="1" t="n">
        <v>3</v>
      </c>
      <c r="J23" s="1" t="n">
        <v>2</v>
      </c>
      <c r="K23" s="1" t="n">
        <v>137724.81</v>
      </c>
    </row>
    <row r="24" customFormat="false" ht="15" hidden="false" customHeight="true" outlineLevel="0" collapsed="false">
      <c r="H24" s="1" t="s">
        <v>720</v>
      </c>
      <c r="I24" s="1" t="n">
        <v>3</v>
      </c>
      <c r="J24" s="1" t="n">
        <v>2</v>
      </c>
      <c r="K24" s="1" t="n">
        <v>142966.41</v>
      </c>
    </row>
    <row r="25" customFormat="false" ht="15" hidden="false" customHeight="true" outlineLevel="0" collapsed="false">
      <c r="H25" s="1" t="s">
        <v>725</v>
      </c>
      <c r="I25" s="1" t="n">
        <v>3</v>
      </c>
      <c r="J25" s="1" t="n">
        <v>2</v>
      </c>
      <c r="K25" s="1" t="n">
        <v>134652.75</v>
      </c>
    </row>
    <row r="26" customFormat="false" ht="15" hidden="false" customHeight="true" outlineLevel="0" collapsed="false">
      <c r="H26" s="1" t="s">
        <v>766</v>
      </c>
      <c r="I26" s="1" t="n">
        <v>3</v>
      </c>
      <c r="J26" s="1" t="n">
        <v>2</v>
      </c>
      <c r="K26" s="1" t="n">
        <v>125504.7</v>
      </c>
    </row>
    <row r="27" customFormat="false" ht="15" hidden="false" customHeight="true" outlineLevel="0" collapsed="false">
      <c r="H27" s="1" t="s">
        <v>781</v>
      </c>
      <c r="I27" s="1" t="n">
        <v>3</v>
      </c>
      <c r="J27" s="1" t="n">
        <v>2</v>
      </c>
      <c r="K27" s="1" t="n">
        <v>127667.19</v>
      </c>
    </row>
    <row r="28" customFormat="false" ht="15" hidden="false" customHeight="true" outlineLevel="0" collapsed="false">
      <c r="H28" s="1" t="s">
        <v>832</v>
      </c>
      <c r="I28" s="1" t="n">
        <v>3</v>
      </c>
      <c r="J28" s="1" t="n">
        <v>2</v>
      </c>
      <c r="K28" s="1" t="n">
        <v>134025.99</v>
      </c>
    </row>
    <row r="29" customFormat="false" ht="15" hidden="false" customHeight="true" outlineLevel="0" collapsed="false">
      <c r="H29" s="1" t="s">
        <v>59</v>
      </c>
      <c r="I29" s="1" t="n">
        <v>2</v>
      </c>
      <c r="J29" s="1" t="n">
        <v>2</v>
      </c>
      <c r="K29" s="1" t="n">
        <v>89510.84</v>
      </c>
    </row>
    <row r="30" customFormat="false" ht="15" hidden="false" customHeight="true" outlineLevel="0" collapsed="false">
      <c r="H30" s="1" t="s">
        <v>82</v>
      </c>
      <c r="I30" s="1" t="n">
        <v>2</v>
      </c>
      <c r="J30" s="1" t="n">
        <v>1</v>
      </c>
      <c r="K30" s="1" t="n">
        <v>39145</v>
      </c>
    </row>
    <row r="31" customFormat="false" ht="15" hidden="false" customHeight="true" outlineLevel="0" collapsed="false">
      <c r="H31" s="1" t="s">
        <v>103</v>
      </c>
      <c r="I31" s="1" t="n">
        <v>2</v>
      </c>
      <c r="J31" s="1" t="n">
        <v>2</v>
      </c>
      <c r="K31" s="1" t="n">
        <v>93547.36</v>
      </c>
    </row>
    <row r="32" customFormat="false" ht="15" hidden="false" customHeight="true" outlineLevel="0" collapsed="false">
      <c r="H32" s="1" t="s">
        <v>119</v>
      </c>
      <c r="I32" s="1" t="n">
        <v>2</v>
      </c>
      <c r="J32" s="1" t="n">
        <v>1</v>
      </c>
      <c r="K32" s="1" t="n">
        <v>89143.88</v>
      </c>
    </row>
    <row r="33" customFormat="false" ht="15" hidden="false" customHeight="true" outlineLevel="0" collapsed="false">
      <c r="H33" s="1" t="s">
        <v>140</v>
      </c>
      <c r="I33" s="1" t="n">
        <v>2</v>
      </c>
      <c r="J33" s="1" t="n">
        <v>1</v>
      </c>
      <c r="K33" s="1" t="n">
        <v>36728.7</v>
      </c>
    </row>
    <row r="34" customFormat="false" ht="15" hidden="false" customHeight="true" outlineLevel="0" collapsed="false">
      <c r="H34" s="1" t="s">
        <v>143</v>
      </c>
      <c r="I34" s="1" t="n">
        <v>2</v>
      </c>
      <c r="J34" s="1" t="n">
        <v>1</v>
      </c>
      <c r="K34" s="1" t="n">
        <v>81684.86</v>
      </c>
    </row>
    <row r="35" customFormat="false" ht="15" hidden="false" customHeight="true" outlineLevel="0" collapsed="false">
      <c r="H35" s="1" t="s">
        <v>149</v>
      </c>
      <c r="I35" s="1" t="n">
        <v>2</v>
      </c>
      <c r="J35" s="1" t="n">
        <v>2</v>
      </c>
      <c r="K35" s="1" t="n">
        <v>91305.4</v>
      </c>
    </row>
    <row r="36" customFormat="false" ht="15" hidden="false" customHeight="true" outlineLevel="0" collapsed="false">
      <c r="H36" s="1" t="s">
        <v>171</v>
      </c>
      <c r="I36" s="1" t="n">
        <v>2</v>
      </c>
      <c r="J36" s="1" t="n">
        <v>1</v>
      </c>
      <c r="K36" s="1" t="n">
        <v>83496.26</v>
      </c>
    </row>
    <row r="37" customFormat="false" ht="15" hidden="false" customHeight="true" outlineLevel="0" collapsed="false">
      <c r="H37" s="1" t="s">
        <v>177</v>
      </c>
      <c r="I37" s="1" t="n">
        <v>2</v>
      </c>
      <c r="J37" s="1" t="n">
        <v>1</v>
      </c>
      <c r="K37" s="1" t="n">
        <v>93111.84</v>
      </c>
    </row>
    <row r="38" customFormat="false" ht="15" hidden="false" customHeight="true" outlineLevel="0" collapsed="false">
      <c r="H38" s="1" t="s">
        <v>183</v>
      </c>
      <c r="I38" s="1" t="n">
        <v>2</v>
      </c>
      <c r="J38" s="1" t="n">
        <v>1</v>
      </c>
      <c r="K38" s="1" t="n">
        <v>62619.32</v>
      </c>
    </row>
  </sheetData>
  <mergeCells count="3">
    <mergeCell ref="A1:C1"/>
    <mergeCell ref="E1:F1"/>
    <mergeCell ref="H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9.5" hidden="false" customHeight="true" outlineLevel="0" collapsed="false">
      <c r="A1" s="10"/>
      <c r="B1" s="10"/>
      <c r="C1" s="10"/>
      <c r="D1" s="10"/>
    </row>
    <row r="2" customFormat="false" ht="15" hidden="false" customHeight="true" outlineLevel="0" collapsed="false">
      <c r="A2" s="11" t="s">
        <v>869</v>
      </c>
    </row>
    <row r="3" customFormat="false" ht="15" hidden="false" customHeight="true" outlineLevel="0" collapsed="false">
      <c r="A3" s="1" t="s">
        <v>870</v>
      </c>
    </row>
    <row r="5" customFormat="false" ht="15" hidden="false" customHeight="true" outlineLevel="0" collapsed="false">
      <c r="A5" s="11" t="s">
        <v>871</v>
      </c>
    </row>
    <row r="6" customFormat="false" ht="15" hidden="false" customHeight="true" outlineLevel="0" collapsed="false">
      <c r="A6" s="1" t="s">
        <v>872</v>
      </c>
    </row>
    <row r="7" customFormat="false" ht="15" hidden="false" customHeight="true" outlineLevel="0" collapsed="false">
      <c r="A7" s="1" t="s">
        <v>873</v>
      </c>
    </row>
    <row r="8" customFormat="false" ht="15" hidden="false" customHeight="true" outlineLevel="0" collapsed="false">
      <c r="A8" s="1" t="s">
        <v>874</v>
      </c>
    </row>
    <row r="9" customFormat="false" ht="15" hidden="false" customHeight="true" outlineLevel="0" collapsed="false">
      <c r="A9" s="1" t="s">
        <v>875</v>
      </c>
    </row>
    <row r="11" customFormat="false" ht="15" hidden="false" customHeight="true" outlineLevel="0" collapsed="false">
      <c r="A11" s="11" t="s">
        <v>876</v>
      </c>
    </row>
    <row r="12" customFormat="false" ht="15" hidden="false" customHeight="true" outlineLevel="0" collapsed="false">
      <c r="A12" s="1" t="s">
        <v>877</v>
      </c>
    </row>
    <row r="13" customFormat="false" ht="15" hidden="false" customHeight="true" outlineLevel="0" collapsed="false">
      <c r="A13" s="1" t="s">
        <v>878</v>
      </c>
    </row>
    <row r="14" customFormat="false" ht="15" hidden="false" customHeight="true" outlineLevel="0" collapsed="false">
      <c r="A14" s="1" t="s">
        <v>879</v>
      </c>
    </row>
    <row r="15" customFormat="false" ht="15" hidden="false" customHeight="true" outlineLevel="0" collapsed="false">
      <c r="A15" s="1" t="s">
        <v>880</v>
      </c>
    </row>
    <row r="17" customFormat="false" ht="15" hidden="false" customHeight="true" outlineLevel="0" collapsed="false">
      <c r="A17" s="11" t="s">
        <v>881</v>
      </c>
    </row>
    <row r="18" customFormat="false" ht="15" hidden="false" customHeight="true" outlineLevel="0" collapsed="false">
      <c r="A18" s="1" t="s">
        <v>882</v>
      </c>
    </row>
    <row r="19" customFormat="false" ht="15" hidden="false" customHeight="true" outlineLevel="0" collapsed="false">
      <c r="A19" s="1" t="s">
        <v>883</v>
      </c>
    </row>
    <row r="20" customFormat="false" ht="15" hidden="false" customHeight="true" outlineLevel="0" collapsed="false">
      <c r="A20" s="1" t="s">
        <v>884</v>
      </c>
    </row>
    <row r="21" customFormat="false" ht="15" hidden="false" customHeight="true" outlineLevel="0" collapsed="false">
      <c r="A21" s="1" t="s">
        <v>885</v>
      </c>
    </row>
    <row r="23" customFormat="false" ht="15" hidden="false" customHeight="true" outlineLevel="0" collapsed="false">
      <c r="A23" s="11" t="s">
        <v>1</v>
      </c>
    </row>
    <row r="24" customFormat="false" ht="15" hidden="false" customHeight="true" outlineLevel="0" collapsed="false">
      <c r="A24" s="1" t="s">
        <v>886</v>
      </c>
    </row>
    <row r="25" customFormat="false" ht="15" hidden="false" customHeight="true" outlineLevel="0" collapsed="false">
      <c r="A25" s="1" t="s">
        <v>887</v>
      </c>
    </row>
    <row r="26" customFormat="false" ht="15" hidden="false" customHeight="true" outlineLevel="0" collapsed="false">
      <c r="A26" s="1" t="s">
        <v>888</v>
      </c>
    </row>
    <row r="27" customFormat="false" ht="15" hidden="false" customHeight="true" outlineLevel="0" collapsed="false">
      <c r="A27" s="1" t="s">
        <v>889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2026-02-09T04:30:33Z</dcterms:created>
  <dc:creator>openpyxl</dc:creator>
  <dc:description/>
  <dc:language>en-US</dc:language>
  <cp:lastModifiedBy/>
  <dcterms:modified xsi:type="dcterms:W3CDTF">2026-02-09T04:31:45Z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